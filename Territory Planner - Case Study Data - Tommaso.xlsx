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mazon-my.sharepoint.com/personal/fantint_amazon_it/Documents/"/>
    </mc:Choice>
  </mc:AlternateContent>
  <xr:revisionPtr revIDLastSave="3087" documentId="8_{6F9E9D4E-6C75-4019-86C4-4C49C132D5AA}" xr6:coauthVersionLast="47" xr6:coauthVersionMax="47" xr10:uidLastSave="{1EAD3520-C610-4FBB-A4A6-DE1E495E452B}"/>
  <bookViews>
    <workbookView xWindow="22932" yWindow="-108" windowWidth="25812" windowHeight="13896" tabRatio="1000" activeTab="7" xr2:uid="{00000000-000D-0000-FFFF-FFFF00000000}"/>
  </bookViews>
  <sheets>
    <sheet name="ReadMe" sheetId="9" r:id="rId1"/>
    <sheet name="Gross-to-Net Process" sheetId="1" r:id="rId2"/>
    <sheet name="Account Information" sheetId="5" r:id="rId3"/>
    <sheet name="Hypotesis Panel" sheetId="10" r:id="rId4"/>
    <sheet name="Available Stock" sheetId="4" r:id="rId5"/>
    <sheet name="SS24 Q2 Data" sheetId="3" r:id="rId6"/>
    <sheet name="Pivot SS24Q2 Summary" sheetId="17" r:id="rId7"/>
    <sheet name="Actual vs Budget " sheetId="13" r:id="rId8"/>
    <sheet name="SS25 Landing" sheetId="18" r:id="rId9"/>
    <sheet name="Pivot" sheetId="14" r:id="rId10"/>
    <sheet name="Support Sheet (don't touch)" sheetId="12" r:id="rId11"/>
  </sheets>
  <definedNames>
    <definedName name="_xlnm._FilterDatabase" localSheetId="7" hidden="1">'Actual vs Budget '!$A$4:$BH$4</definedName>
    <definedName name="_xlnm._FilterDatabase" localSheetId="5" hidden="1">'SS24 Q2 Data'!$A$6:$P$6</definedName>
  </definedNames>
  <calcPr calcId="191029"/>
  <pivotCaches>
    <pivotCache cacheId="0" r:id="rId12"/>
    <pivotCache cacheId="1" r:id="rId13"/>
    <pivotCache cacheId="2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5" i="13" l="1"/>
  <c r="AL5" i="13"/>
  <c r="AL6" i="13"/>
  <c r="AL7" i="13"/>
  <c r="AL9" i="13"/>
  <c r="AL8" i="13"/>
  <c r="AL13" i="13"/>
  <c r="AL10" i="13"/>
  <c r="AL12" i="13"/>
  <c r="AL11" i="13"/>
  <c r="AL15" i="13"/>
  <c r="AL14" i="13"/>
  <c r="AL19" i="13"/>
  <c r="AL16" i="13"/>
  <c r="AL23" i="13"/>
  <c r="AL18" i="13"/>
  <c r="AL17" i="13"/>
  <c r="AL20" i="13"/>
  <c r="AL22" i="13"/>
  <c r="AL21" i="13"/>
  <c r="AL25" i="13"/>
  <c r="AL26" i="13"/>
  <c r="AL24" i="13"/>
  <c r="AL27" i="13"/>
  <c r="J11" i="4"/>
  <c r="K6" i="4"/>
  <c r="J10" i="4" s="1"/>
  <c r="B77" i="10"/>
  <c r="B76" i="10"/>
  <c r="B75" i="10"/>
  <c r="BX7" i="13"/>
  <c r="BY7" i="13" s="1"/>
  <c r="F46" i="10"/>
  <c r="J14" i="13" s="1"/>
  <c r="K14" i="13" s="1"/>
  <c r="Y10" i="13"/>
  <c r="Z10" i="13" s="1"/>
  <c r="Y11" i="13"/>
  <c r="Z11" i="13" s="1"/>
  <c r="Y16" i="13"/>
  <c r="Z16" i="13" s="1"/>
  <c r="Y15" i="13"/>
  <c r="Z15" i="13" s="1"/>
  <c r="Y13" i="13"/>
  <c r="Z13" i="13" s="1"/>
  <c r="Y23" i="13"/>
  <c r="Z23" i="13" s="1"/>
  <c r="Y20" i="13"/>
  <c r="Z20" i="13" s="1"/>
  <c r="Y14" i="13"/>
  <c r="Z14" i="13" s="1"/>
  <c r="Y8" i="13"/>
  <c r="Z8" i="13" s="1"/>
  <c r="Y27" i="13"/>
  <c r="Z27" i="13" s="1"/>
  <c r="Y21" i="13"/>
  <c r="Z21" i="13" s="1"/>
  <c r="Y5" i="13"/>
  <c r="Z5" i="13" s="1"/>
  <c r="Y6" i="13"/>
  <c r="Z6" i="13" s="1"/>
  <c r="Y9" i="13"/>
  <c r="Z9" i="13" s="1"/>
  <c r="Y24" i="13"/>
  <c r="Z24" i="13" s="1"/>
  <c r="Y12" i="13"/>
  <c r="Z12" i="13" s="1"/>
  <c r="Y22" i="13"/>
  <c r="Z22" i="13" s="1"/>
  <c r="Y18" i="13"/>
  <c r="Z18" i="13" s="1"/>
  <c r="Y26" i="13"/>
  <c r="Z26" i="13" s="1"/>
  <c r="Y19" i="13"/>
  <c r="Z19" i="13" s="1"/>
  <c r="Y25" i="13"/>
  <c r="Z25" i="13" s="1"/>
  <c r="Y17" i="13"/>
  <c r="Z17" i="13" s="1"/>
  <c r="Y7" i="13"/>
  <c r="CC7" i="13" s="1"/>
  <c r="N10" i="13"/>
  <c r="O10" i="13" s="1"/>
  <c r="N11" i="13"/>
  <c r="O11" i="13" s="1"/>
  <c r="N16" i="13"/>
  <c r="O16" i="13" s="1"/>
  <c r="N15" i="13"/>
  <c r="O15" i="13" s="1"/>
  <c r="N13" i="13"/>
  <c r="O13" i="13" s="1"/>
  <c r="N23" i="13"/>
  <c r="O23" i="13" s="1"/>
  <c r="N20" i="13"/>
  <c r="O20" i="13" s="1"/>
  <c r="N14" i="13"/>
  <c r="O14" i="13" s="1"/>
  <c r="N8" i="13"/>
  <c r="O8" i="13" s="1"/>
  <c r="N27" i="13"/>
  <c r="O27" i="13" s="1"/>
  <c r="N21" i="13"/>
  <c r="O21" i="13" s="1"/>
  <c r="N5" i="13"/>
  <c r="O5" i="13" s="1"/>
  <c r="N6" i="13"/>
  <c r="O6" i="13" s="1"/>
  <c r="N9" i="13"/>
  <c r="O9" i="13" s="1"/>
  <c r="N24" i="13"/>
  <c r="O24" i="13" s="1"/>
  <c r="N12" i="13"/>
  <c r="O12" i="13" s="1"/>
  <c r="N22" i="13"/>
  <c r="O22" i="13" s="1"/>
  <c r="N18" i="13"/>
  <c r="O18" i="13" s="1"/>
  <c r="N26" i="13"/>
  <c r="O26" i="13" s="1"/>
  <c r="N19" i="13"/>
  <c r="O19" i="13" s="1"/>
  <c r="N25" i="13"/>
  <c r="O25" i="13" s="1"/>
  <c r="N17" i="13"/>
  <c r="O17" i="13" s="1"/>
  <c r="N7" i="13"/>
  <c r="O7" i="13" s="1"/>
  <c r="K7" i="4"/>
  <c r="AJ12" i="13"/>
  <c r="AJ6" i="13"/>
  <c r="AJ9" i="13"/>
  <c r="AJ8" i="13"/>
  <c r="AJ13" i="13"/>
  <c r="AJ7" i="13"/>
  <c r="AJ14" i="13"/>
  <c r="AJ10" i="13"/>
  <c r="AJ15" i="13"/>
  <c r="AJ11" i="13"/>
  <c r="AJ25" i="13"/>
  <c r="AJ21" i="13"/>
  <c r="AJ16" i="13"/>
  <c r="AJ17" i="13"/>
  <c r="AJ19" i="13"/>
  <c r="AJ26" i="13"/>
  <c r="AJ23" i="13"/>
  <c r="AJ22" i="13"/>
  <c r="AJ18" i="13"/>
  <c r="AJ20" i="13"/>
  <c r="AJ27" i="13"/>
  <c r="AJ24" i="13"/>
  <c r="AJ5" i="13"/>
  <c r="AI5" i="13"/>
  <c r="AI12" i="13"/>
  <c r="AI6" i="13"/>
  <c r="AI9" i="13"/>
  <c r="AI8" i="13"/>
  <c r="AI13" i="13"/>
  <c r="AI7" i="13"/>
  <c r="AI14" i="13"/>
  <c r="AI10" i="13"/>
  <c r="AI15" i="13"/>
  <c r="AI11" i="13"/>
  <c r="AI25" i="13"/>
  <c r="AI21" i="13"/>
  <c r="AI16" i="13"/>
  <c r="AI17" i="13"/>
  <c r="AI19" i="13"/>
  <c r="AI26" i="13"/>
  <c r="AI23" i="13"/>
  <c r="AI22" i="13"/>
  <c r="AI18" i="13"/>
  <c r="AI20" i="13"/>
  <c r="AI27" i="13"/>
  <c r="AI24" i="13"/>
  <c r="AG5" i="13"/>
  <c r="AG12" i="13"/>
  <c r="AG6" i="13"/>
  <c r="AG9" i="13"/>
  <c r="AG8" i="13"/>
  <c r="AG13" i="13"/>
  <c r="AG7" i="13"/>
  <c r="AG14" i="13"/>
  <c r="AG10" i="13"/>
  <c r="AG15" i="13"/>
  <c r="AG11" i="13"/>
  <c r="AG25" i="13"/>
  <c r="AG21" i="13"/>
  <c r="AG16" i="13"/>
  <c r="AG17" i="13"/>
  <c r="AG19" i="13"/>
  <c r="AG26" i="13"/>
  <c r="AG23" i="13"/>
  <c r="AG22" i="13"/>
  <c r="AG18" i="13"/>
  <c r="AG20" i="13"/>
  <c r="AG27" i="13"/>
  <c r="AG24" i="13"/>
  <c r="AE5" i="13"/>
  <c r="AE12" i="13"/>
  <c r="AE6" i="13"/>
  <c r="AE9" i="13"/>
  <c r="AE8" i="13"/>
  <c r="AE13" i="13"/>
  <c r="AE7" i="13"/>
  <c r="AE14" i="13"/>
  <c r="AE10" i="13"/>
  <c r="AE15" i="13"/>
  <c r="AE11" i="13"/>
  <c r="AE25" i="13"/>
  <c r="AE21" i="13"/>
  <c r="AE16" i="13"/>
  <c r="AE17" i="13"/>
  <c r="AE19" i="13"/>
  <c r="AE26" i="13"/>
  <c r="AE23" i="13"/>
  <c r="AE22" i="13"/>
  <c r="AE18" i="13"/>
  <c r="AE20" i="13"/>
  <c r="AE27" i="13"/>
  <c r="AE24" i="13"/>
  <c r="AC5" i="13"/>
  <c r="AC12" i="13"/>
  <c r="AC6" i="13"/>
  <c r="AC9" i="13"/>
  <c r="AC8" i="13"/>
  <c r="AC13" i="13"/>
  <c r="AC7" i="13"/>
  <c r="AC14" i="13"/>
  <c r="AC10" i="13"/>
  <c r="AC15" i="13"/>
  <c r="AC11" i="13"/>
  <c r="AC25" i="13"/>
  <c r="AC21" i="13"/>
  <c r="AC16" i="13"/>
  <c r="AC17" i="13"/>
  <c r="AC19" i="13"/>
  <c r="AC26" i="13"/>
  <c r="AC23" i="13"/>
  <c r="AC22" i="13"/>
  <c r="AC18" i="13"/>
  <c r="AC20" i="13"/>
  <c r="AC27" i="13"/>
  <c r="AC24" i="13"/>
  <c r="W5" i="13"/>
  <c r="W12" i="13"/>
  <c r="W6" i="13"/>
  <c r="W9" i="13"/>
  <c r="W8" i="13"/>
  <c r="W13" i="13"/>
  <c r="W7" i="13"/>
  <c r="W14" i="13"/>
  <c r="W10" i="13"/>
  <c r="W15" i="13"/>
  <c r="W11" i="13"/>
  <c r="W25" i="13"/>
  <c r="W21" i="13"/>
  <c r="W16" i="13"/>
  <c r="W17" i="13"/>
  <c r="W19" i="13"/>
  <c r="W26" i="13"/>
  <c r="W23" i="13"/>
  <c r="W22" i="13"/>
  <c r="W18" i="13"/>
  <c r="W20" i="13"/>
  <c r="W27" i="13"/>
  <c r="W24" i="13"/>
  <c r="U5" i="13"/>
  <c r="U12" i="13"/>
  <c r="U6" i="13"/>
  <c r="U9" i="13"/>
  <c r="U8" i="13"/>
  <c r="U13" i="13"/>
  <c r="U7" i="13"/>
  <c r="U14" i="13"/>
  <c r="U10" i="13"/>
  <c r="U15" i="13"/>
  <c r="U11" i="13"/>
  <c r="U25" i="13"/>
  <c r="U21" i="13"/>
  <c r="U16" i="13"/>
  <c r="U17" i="13"/>
  <c r="U19" i="13"/>
  <c r="U26" i="13"/>
  <c r="U23" i="13"/>
  <c r="U22" i="13"/>
  <c r="U18" i="13"/>
  <c r="U20" i="13"/>
  <c r="U27" i="13"/>
  <c r="U24" i="13"/>
  <c r="S5" i="13"/>
  <c r="S12" i="13"/>
  <c r="S6" i="13"/>
  <c r="S9" i="13"/>
  <c r="S8" i="13"/>
  <c r="S13" i="13"/>
  <c r="S7" i="13"/>
  <c r="S14" i="13"/>
  <c r="S10" i="13"/>
  <c r="S15" i="13"/>
  <c r="S11" i="13"/>
  <c r="S25" i="13"/>
  <c r="S21" i="13"/>
  <c r="S16" i="13"/>
  <c r="S17" i="13"/>
  <c r="S19" i="13"/>
  <c r="S26" i="13"/>
  <c r="S23" i="13"/>
  <c r="S22" i="13"/>
  <c r="S18" i="13"/>
  <c r="S20" i="13"/>
  <c r="S27" i="13"/>
  <c r="S24" i="13"/>
  <c r="Q5" i="13"/>
  <c r="Q12" i="13"/>
  <c r="Q6" i="13"/>
  <c r="Q9" i="13"/>
  <c r="Q8" i="13"/>
  <c r="Q13" i="13"/>
  <c r="Q7" i="13"/>
  <c r="Q14" i="13"/>
  <c r="Q10" i="13"/>
  <c r="Q15" i="13"/>
  <c r="Q11" i="13"/>
  <c r="Q25" i="13"/>
  <c r="Q21" i="13"/>
  <c r="Q16" i="13"/>
  <c r="Q17" i="13"/>
  <c r="Q19" i="13"/>
  <c r="Q26" i="13"/>
  <c r="Q23" i="13"/>
  <c r="Q22" i="13"/>
  <c r="Q18" i="13"/>
  <c r="Q20" i="13"/>
  <c r="Q27" i="13"/>
  <c r="Q24" i="13"/>
  <c r="BM5" i="13" l="1"/>
  <c r="BO9" i="13"/>
  <c r="BO10" i="13"/>
  <c r="BO5" i="13"/>
  <c r="BO6" i="13"/>
  <c r="BO19" i="13"/>
  <c r="BO16" i="13"/>
  <c r="BO23" i="13"/>
  <c r="BO18" i="13"/>
  <c r="BO22" i="13"/>
  <c r="BO14" i="13"/>
  <c r="BO7" i="13"/>
  <c r="BO8" i="13"/>
  <c r="BO21" i="13"/>
  <c r="BO13" i="13"/>
  <c r="BO25" i="13"/>
  <c r="BO26" i="13"/>
  <c r="BO12" i="13"/>
  <c r="BO24" i="13"/>
  <c r="BO11" i="13"/>
  <c r="BO27" i="13"/>
  <c r="BO17" i="13"/>
  <c r="BO20" i="13"/>
  <c r="BO15" i="13"/>
  <c r="AL2" i="13"/>
  <c r="CC5" i="13"/>
  <c r="BM24" i="13"/>
  <c r="BM10" i="13"/>
  <c r="CC27" i="13"/>
  <c r="BM8" i="13"/>
  <c r="CC19" i="13"/>
  <c r="CC15" i="13"/>
  <c r="CC11" i="13"/>
  <c r="CC24" i="13"/>
  <c r="CC12" i="13"/>
  <c r="CC10" i="13"/>
  <c r="CC9" i="13"/>
  <c r="CC25" i="13"/>
  <c r="CC13" i="13"/>
  <c r="BM26" i="13"/>
  <c r="CC21" i="13"/>
  <c r="CC8" i="13"/>
  <c r="CC14" i="13"/>
  <c r="BM9" i="13"/>
  <c r="CC22" i="13"/>
  <c r="BM16" i="13"/>
  <c r="CC20" i="13"/>
  <c r="BM23" i="13"/>
  <c r="BM19" i="13"/>
  <c r="CC17" i="13"/>
  <c r="CC6" i="13"/>
  <c r="BM14" i="13"/>
  <c r="CC18" i="13"/>
  <c r="BM11" i="13"/>
  <c r="CC23" i="13"/>
  <c r="CC26" i="13"/>
  <c r="BM12" i="13"/>
  <c r="CC16" i="13"/>
  <c r="BM15" i="13"/>
  <c r="BM27" i="13"/>
  <c r="BM25" i="13"/>
  <c r="BM13" i="13"/>
  <c r="BM21" i="13"/>
  <c r="BM22" i="13"/>
  <c r="BM20" i="13"/>
  <c r="BM7" i="13"/>
  <c r="BM17" i="13"/>
  <c r="BM6" i="13"/>
  <c r="BM18" i="13"/>
  <c r="J26" i="13"/>
  <c r="K26" i="13" s="1"/>
  <c r="BK26" i="13" s="1"/>
  <c r="J10" i="13"/>
  <c r="K10" i="13" s="1"/>
  <c r="BK10" i="13" s="1"/>
  <c r="J25" i="13"/>
  <c r="K25" i="13" s="1"/>
  <c r="BK25" i="13" s="1"/>
  <c r="J13" i="13"/>
  <c r="K13" i="13" s="1"/>
  <c r="BK13" i="13" s="1"/>
  <c r="J27" i="13"/>
  <c r="K27" i="13" s="1"/>
  <c r="BK27" i="13" s="1"/>
  <c r="J24" i="13"/>
  <c r="K24" i="13" s="1"/>
  <c r="BK24" i="13" s="1"/>
  <c r="J21" i="13"/>
  <c r="K21" i="13" s="1"/>
  <c r="BK21" i="13" s="1"/>
  <c r="J22" i="13"/>
  <c r="K22" i="13" s="1"/>
  <c r="BK22" i="13" s="1"/>
  <c r="J20" i="13"/>
  <c r="K20" i="13" s="1"/>
  <c r="BK20" i="13" s="1"/>
  <c r="J17" i="13"/>
  <c r="K17" i="13" s="1"/>
  <c r="BK17" i="13" s="1"/>
  <c r="J23" i="13"/>
  <c r="K23" i="13" s="1"/>
  <c r="BK23" i="13" s="1"/>
  <c r="BP23" i="13" s="1"/>
  <c r="J15" i="13"/>
  <c r="K15" i="13" s="1"/>
  <c r="BK15" i="13" s="1"/>
  <c r="BP15" i="13" s="1"/>
  <c r="J11" i="13"/>
  <c r="K11" i="13" s="1"/>
  <c r="BK11" i="13" s="1"/>
  <c r="J12" i="13"/>
  <c r="K12" i="13" s="1"/>
  <c r="BK12" i="13" s="1"/>
  <c r="J8" i="13"/>
  <c r="K8" i="13" s="1"/>
  <c r="BK8" i="13" s="1"/>
  <c r="J9" i="13"/>
  <c r="K9" i="13" s="1"/>
  <c r="BK9" i="13" s="1"/>
  <c r="J7" i="13"/>
  <c r="K7" i="13" s="1"/>
  <c r="BK7" i="13" s="1"/>
  <c r="BP7" i="13" s="1"/>
  <c r="J6" i="13"/>
  <c r="K6" i="13" s="1"/>
  <c r="BK6" i="13" s="1"/>
  <c r="J18" i="13"/>
  <c r="K18" i="13" s="1"/>
  <c r="BK18" i="13" s="1"/>
  <c r="J5" i="13"/>
  <c r="K5" i="13" s="1"/>
  <c r="BK5" i="13" s="1"/>
  <c r="J16" i="13"/>
  <c r="K16" i="13" s="1"/>
  <c r="BK16" i="13" s="1"/>
  <c r="J19" i="13"/>
  <c r="K19" i="13" s="1"/>
  <c r="BK19" i="13" s="1"/>
  <c r="AK21" i="13"/>
  <c r="BL21" i="13" s="1"/>
  <c r="BQ21" i="13" s="1"/>
  <c r="BT21" i="13" s="1"/>
  <c r="AK18" i="13"/>
  <c r="BL18" i="13" s="1"/>
  <c r="BQ18" i="13" s="1"/>
  <c r="BT18" i="13" s="1"/>
  <c r="AK15" i="13"/>
  <c r="BL15" i="13" s="1"/>
  <c r="BQ15" i="13" s="1"/>
  <c r="BT15" i="13" s="1"/>
  <c r="AK8" i="13"/>
  <c r="BL8" i="13" s="1"/>
  <c r="BQ8" i="13" s="1"/>
  <c r="BT8" i="13" s="1"/>
  <c r="AK22" i="13"/>
  <c r="BL22" i="13" s="1"/>
  <c r="BQ22" i="13" s="1"/>
  <c r="BT22" i="13" s="1"/>
  <c r="AK17" i="13"/>
  <c r="BL17" i="13" s="1"/>
  <c r="BQ17" i="13" s="1"/>
  <c r="BT17" i="13" s="1"/>
  <c r="AK20" i="13"/>
  <c r="BL20" i="13" s="1"/>
  <c r="BQ20" i="13" s="1"/>
  <c r="BT20" i="13" s="1"/>
  <c r="BJ14" i="13"/>
  <c r="BN14" i="13" s="1"/>
  <c r="BR14" i="13" s="1"/>
  <c r="AK23" i="13"/>
  <c r="BL23" i="13" s="1"/>
  <c r="BQ23" i="13" s="1"/>
  <c r="BT23" i="13" s="1"/>
  <c r="AK9" i="13"/>
  <c r="BL9" i="13" s="1"/>
  <c r="BQ9" i="13" s="1"/>
  <c r="BT9" i="13" s="1"/>
  <c r="AK7" i="13"/>
  <c r="BL7" i="13" s="1"/>
  <c r="BQ7" i="13" s="1"/>
  <c r="BT7" i="13" s="1"/>
  <c r="AK6" i="13"/>
  <c r="BL6" i="13" s="1"/>
  <c r="BQ6" i="13" s="1"/>
  <c r="BT6" i="13" s="1"/>
  <c r="AK16" i="13"/>
  <c r="BL16" i="13" s="1"/>
  <c r="BQ16" i="13" s="1"/>
  <c r="BT16" i="13" s="1"/>
  <c r="AK5" i="13"/>
  <c r="BL5" i="13" s="1"/>
  <c r="BQ5" i="13" s="1"/>
  <c r="BT5" i="13" s="1"/>
  <c r="AK19" i="13"/>
  <c r="BL19" i="13" s="1"/>
  <c r="BQ19" i="13" s="1"/>
  <c r="BT19" i="13" s="1"/>
  <c r="AK27" i="13"/>
  <c r="BL27" i="13" s="1"/>
  <c r="BQ27" i="13" s="1"/>
  <c r="BT27" i="13" s="1"/>
  <c r="AK12" i="13"/>
  <c r="BL12" i="13" s="1"/>
  <c r="BQ12" i="13" s="1"/>
  <c r="BT12" i="13" s="1"/>
  <c r="AK14" i="13"/>
  <c r="BL14" i="13" s="1"/>
  <c r="BQ14" i="13" s="1"/>
  <c r="BT14" i="13" s="1"/>
  <c r="AK24" i="13"/>
  <c r="BL24" i="13" s="1"/>
  <c r="BQ24" i="13" s="1"/>
  <c r="BT24" i="13" s="1"/>
  <c r="AK11" i="13"/>
  <c r="BL11" i="13" s="1"/>
  <c r="BQ11" i="13" s="1"/>
  <c r="BT11" i="13" s="1"/>
  <c r="AK26" i="13"/>
  <c r="BL26" i="13" s="1"/>
  <c r="BQ26" i="13" s="1"/>
  <c r="BT26" i="13" s="1"/>
  <c r="AK10" i="13"/>
  <c r="BL10" i="13" s="1"/>
  <c r="BQ10" i="13" s="1"/>
  <c r="BT10" i="13" s="1"/>
  <c r="AK25" i="13"/>
  <c r="BL25" i="13" s="1"/>
  <c r="BQ25" i="13" s="1"/>
  <c r="BT25" i="13" s="1"/>
  <c r="AK13" i="13"/>
  <c r="BL13" i="13" s="1"/>
  <c r="BQ13" i="13" s="1"/>
  <c r="BT13" i="13" s="1"/>
  <c r="BK14" i="13"/>
  <c r="Y2" i="13"/>
  <c r="N2" i="13"/>
  <c r="Z2" i="13"/>
  <c r="C60" i="10" s="1"/>
  <c r="O2" i="13"/>
  <c r="Q2" i="13"/>
  <c r="AT6" i="13"/>
  <c r="C68" i="10"/>
  <c r="BA17" i="3"/>
  <c r="AZ17" i="3"/>
  <c r="AZ24" i="3"/>
  <c r="BA8" i="3"/>
  <c r="BA18" i="3"/>
  <c r="BA16" i="3"/>
  <c r="BA9" i="3"/>
  <c r="BA10" i="3"/>
  <c r="BA7" i="3"/>
  <c r="BA11" i="3"/>
  <c r="BA28" i="3"/>
  <c r="BA29" i="3"/>
  <c r="BA12" i="3"/>
  <c r="BA19" i="3"/>
  <c r="BA27" i="3"/>
  <c r="BA13" i="3"/>
  <c r="BA26" i="3"/>
  <c r="BA14" i="3"/>
  <c r="BA20" i="3"/>
  <c r="BA15" i="3"/>
  <c r="BA21" i="3"/>
  <c r="BA22" i="3"/>
  <c r="BA23" i="3"/>
  <c r="BA24" i="3"/>
  <c r="BA25" i="3"/>
  <c r="AP27" i="3"/>
  <c r="J5" i="3"/>
  <c r="E5" i="3"/>
  <c r="AP17" i="3"/>
  <c r="AQ17" i="3"/>
  <c r="R17" i="3"/>
  <c r="P17" i="3"/>
  <c r="U17" i="3" s="1"/>
  <c r="D23" i="13"/>
  <c r="D18" i="13"/>
  <c r="D7" i="13"/>
  <c r="D24" i="13"/>
  <c r="D19" i="13"/>
  <c r="D22" i="13"/>
  <c r="D20" i="13"/>
  <c r="D6" i="13"/>
  <c r="D26" i="13"/>
  <c r="D25" i="13"/>
  <c r="D11" i="13"/>
  <c r="D5" i="13"/>
  <c r="D9" i="13"/>
  <c r="D8" i="13"/>
  <c r="D13" i="13"/>
  <c r="D10" i="13"/>
  <c r="D12" i="13"/>
  <c r="D14" i="13"/>
  <c r="D17" i="13"/>
  <c r="D21" i="13"/>
  <c r="D16" i="13"/>
  <c r="D15" i="13"/>
  <c r="D27" i="13"/>
  <c r="AQ7" i="3"/>
  <c r="AQ13" i="3"/>
  <c r="AQ27" i="3"/>
  <c r="AQ11" i="3"/>
  <c r="AQ22" i="3"/>
  <c r="AQ10" i="3"/>
  <c r="AQ8" i="3"/>
  <c r="AQ9" i="3"/>
  <c r="AQ14" i="3"/>
  <c r="AQ12" i="3"/>
  <c r="AQ29" i="3"/>
  <c r="AQ20" i="3"/>
  <c r="AQ26" i="3"/>
  <c r="AQ28" i="3"/>
  <c r="AP8" i="3"/>
  <c r="AP13" i="3"/>
  <c r="AP23" i="3"/>
  <c r="AP11" i="3"/>
  <c r="AP22" i="3"/>
  <c r="AP10" i="3"/>
  <c r="AP12" i="3"/>
  <c r="AP9" i="3"/>
  <c r="AP14" i="3"/>
  <c r="AP28" i="3"/>
  <c r="AP29" i="3"/>
  <c r="AP20" i="3"/>
  <c r="AP18" i="3"/>
  <c r="AP19" i="3"/>
  <c r="AP15" i="3"/>
  <c r="AP21" i="3"/>
  <c r="AP25" i="3"/>
  <c r="AP24" i="3"/>
  <c r="O6" i="17"/>
  <c r="O10" i="17" s="1"/>
  <c r="AB17" i="3"/>
  <c r="AQ7" i="13"/>
  <c r="AR7" i="13" s="1"/>
  <c r="AQ5" i="13"/>
  <c r="AR5" i="13" s="1"/>
  <c r="AQ6" i="13"/>
  <c r="AR6" i="13" s="1"/>
  <c r="AQ9" i="13"/>
  <c r="AR9" i="13" s="1"/>
  <c r="AQ8" i="13"/>
  <c r="AR8" i="13" s="1"/>
  <c r="AQ13" i="13"/>
  <c r="AR13" i="13" s="1"/>
  <c r="AQ10" i="13"/>
  <c r="AR10" i="13" s="1"/>
  <c r="AQ12" i="13"/>
  <c r="AR12" i="13" s="1"/>
  <c r="AQ11" i="13"/>
  <c r="AR11" i="13" s="1"/>
  <c r="AQ15" i="13"/>
  <c r="AR15" i="13" s="1"/>
  <c r="AQ14" i="13"/>
  <c r="AR14" i="13" s="1"/>
  <c r="AQ19" i="13"/>
  <c r="AR19" i="13" s="1"/>
  <c r="AQ16" i="13"/>
  <c r="AR16" i="13" s="1"/>
  <c r="AQ23" i="13"/>
  <c r="AR23" i="13" s="1"/>
  <c r="AQ18" i="13"/>
  <c r="AR18" i="13" s="1"/>
  <c r="AQ17" i="13"/>
  <c r="AR17" i="13" s="1"/>
  <c r="AQ20" i="13"/>
  <c r="AR20" i="13" s="1"/>
  <c r="AQ22" i="13"/>
  <c r="AR22" i="13" s="1"/>
  <c r="AQ21" i="13"/>
  <c r="AR21" i="13" s="1"/>
  <c r="AQ25" i="13"/>
  <c r="AR25" i="13" s="1"/>
  <c r="AQ26" i="13"/>
  <c r="AR26" i="13" s="1"/>
  <c r="AQ24" i="13"/>
  <c r="AR24" i="13" s="1"/>
  <c r="AQ27" i="13"/>
  <c r="AR27" i="13" s="1"/>
  <c r="AP5" i="13"/>
  <c r="Q17" i="3"/>
  <c r="D20" i="10"/>
  <c r="B21" i="10" s="1"/>
  <c r="P8" i="3"/>
  <c r="W8" i="3" s="1"/>
  <c r="P18" i="3"/>
  <c r="U18" i="3" s="1"/>
  <c r="P9" i="3"/>
  <c r="U9" i="3" s="1"/>
  <c r="P10" i="3"/>
  <c r="U10" i="3" s="1"/>
  <c r="P16" i="3"/>
  <c r="U16" i="3" s="1"/>
  <c r="P7" i="3"/>
  <c r="W7" i="3" s="1"/>
  <c r="P11" i="3"/>
  <c r="T11" i="3" s="1"/>
  <c r="P28" i="3"/>
  <c r="T28" i="3" s="1"/>
  <c r="P12" i="3"/>
  <c r="T12" i="3" s="1"/>
  <c r="P29" i="3"/>
  <c r="T29" i="3" s="1"/>
  <c r="P13" i="3"/>
  <c r="V13" i="3" s="1"/>
  <c r="P27" i="3"/>
  <c r="V27" i="3" s="1"/>
  <c r="P26" i="3"/>
  <c r="V26" i="3" s="1"/>
  <c r="P19" i="3"/>
  <c r="W19" i="3" s="1"/>
  <c r="P14" i="3"/>
  <c r="U14" i="3" s="1"/>
  <c r="P15" i="3"/>
  <c r="U15" i="3" s="1"/>
  <c r="P20" i="3"/>
  <c r="U20" i="3" s="1"/>
  <c r="P21" i="3"/>
  <c r="U21" i="3" s="1"/>
  <c r="P23" i="3"/>
  <c r="U23" i="3" s="1"/>
  <c r="P22" i="3"/>
  <c r="W22" i="3" s="1"/>
  <c r="P25" i="3"/>
  <c r="T25" i="3" s="1"/>
  <c r="P24" i="3"/>
  <c r="T24" i="3" s="1"/>
  <c r="Q26" i="3"/>
  <c r="Q18" i="3"/>
  <c r="X18" i="3" s="1"/>
  <c r="Q20" i="3"/>
  <c r="Q16" i="3"/>
  <c r="X16" i="3" s="1"/>
  <c r="Q19" i="3"/>
  <c r="AA19" i="3" s="1"/>
  <c r="Q21" i="3"/>
  <c r="AA21" i="3" s="1"/>
  <c r="Q22" i="3"/>
  <c r="AT22" i="3" s="1"/>
  <c r="Q23" i="3"/>
  <c r="Q29" i="3"/>
  <c r="Y29" i="3" s="1"/>
  <c r="Q8" i="3"/>
  <c r="AT8" i="3" s="1"/>
  <c r="Q9" i="3"/>
  <c r="AT9" i="3" s="1"/>
  <c r="Q10" i="3"/>
  <c r="Q7" i="3"/>
  <c r="Q11" i="3"/>
  <c r="Q12" i="3"/>
  <c r="Q13" i="3"/>
  <c r="Y13" i="3" s="1"/>
  <c r="Q14" i="3"/>
  <c r="X14" i="3" s="1"/>
  <c r="Q15" i="3"/>
  <c r="X15" i="3" s="1"/>
  <c r="Q27" i="3"/>
  <c r="Y27" i="3" s="1"/>
  <c r="Q28" i="3"/>
  <c r="Q25" i="3"/>
  <c r="Z25" i="3" s="1"/>
  <c r="Q24" i="3"/>
  <c r="Z24" i="3" s="1"/>
  <c r="AO6" i="13"/>
  <c r="AP6" i="13" s="1"/>
  <c r="AO7" i="13"/>
  <c r="AP7" i="13" s="1"/>
  <c r="AO9" i="13"/>
  <c r="AP9" i="13" s="1"/>
  <c r="AO8" i="13"/>
  <c r="AP8" i="13" s="1"/>
  <c r="AO13" i="13"/>
  <c r="AP13" i="13" s="1"/>
  <c r="AO10" i="13"/>
  <c r="AP10" i="13" s="1"/>
  <c r="AO12" i="13"/>
  <c r="AP12" i="13" s="1"/>
  <c r="AO11" i="13"/>
  <c r="AP11" i="13" s="1"/>
  <c r="AO15" i="13"/>
  <c r="AP15" i="13" s="1"/>
  <c r="AO14" i="13"/>
  <c r="AP14" i="13" s="1"/>
  <c r="AO19" i="13"/>
  <c r="AP19" i="13" s="1"/>
  <c r="AO16" i="13"/>
  <c r="AP16" i="13" s="1"/>
  <c r="AO23" i="13"/>
  <c r="AP23" i="13" s="1"/>
  <c r="AO18" i="13"/>
  <c r="AP18" i="13" s="1"/>
  <c r="AO17" i="13"/>
  <c r="AP17" i="13" s="1"/>
  <c r="AO20" i="13"/>
  <c r="AP20" i="13" s="1"/>
  <c r="AO22" i="13"/>
  <c r="AP22" i="13" s="1"/>
  <c r="AO21" i="13"/>
  <c r="AP21" i="13" s="1"/>
  <c r="AO25" i="13"/>
  <c r="AP25" i="13" s="1"/>
  <c r="AO26" i="13"/>
  <c r="AP26" i="13" s="1"/>
  <c r="AO24" i="13"/>
  <c r="AP24" i="13" s="1"/>
  <c r="AO27" i="13"/>
  <c r="AP27" i="13" s="1"/>
  <c r="J7" i="4"/>
  <c r="L7" i="4" s="1"/>
  <c r="J6" i="4"/>
  <c r="L6" i="4" s="1"/>
  <c r="I8" i="4"/>
  <c r="H8" i="4"/>
  <c r="E15" i="13"/>
  <c r="E5" i="13"/>
  <c r="E8" i="13"/>
  <c r="E10" i="13"/>
  <c r="E14" i="13"/>
  <c r="E16" i="13"/>
  <c r="E7" i="13"/>
  <c r="E11" i="13"/>
  <c r="E17" i="13"/>
  <c r="E9" i="13"/>
  <c r="E24" i="13"/>
  <c r="E21" i="13"/>
  <c r="E27" i="13"/>
  <c r="E25" i="13"/>
  <c r="E12" i="13"/>
  <c r="E26" i="13"/>
  <c r="E20" i="13"/>
  <c r="E18" i="13"/>
  <c r="E22" i="13"/>
  <c r="E23" i="13"/>
  <c r="E13" i="13"/>
  <c r="E19" i="13"/>
  <c r="E6" i="13"/>
  <c r="AT7" i="13"/>
  <c r="AT9" i="13"/>
  <c r="AT8" i="13"/>
  <c r="AT13" i="13"/>
  <c r="AT10" i="13"/>
  <c r="AT12" i="13"/>
  <c r="AT11" i="13"/>
  <c r="AT15" i="13"/>
  <c r="AT14" i="13"/>
  <c r="AT19" i="13"/>
  <c r="AT16" i="13"/>
  <c r="AT23" i="13"/>
  <c r="AT18" i="13"/>
  <c r="AT17" i="13"/>
  <c r="AT20" i="13"/>
  <c r="AT22" i="13"/>
  <c r="AT21" i="13"/>
  <c r="AT25" i="13"/>
  <c r="AT26" i="13"/>
  <c r="AT24" i="13"/>
  <c r="AT27" i="13"/>
  <c r="AT5" i="13"/>
  <c r="R8" i="3"/>
  <c r="R18" i="3"/>
  <c r="R9" i="3"/>
  <c r="R10" i="3"/>
  <c r="R16" i="3"/>
  <c r="R7" i="3"/>
  <c r="R11" i="3"/>
  <c r="R28" i="3"/>
  <c r="R12" i="3"/>
  <c r="R29" i="3"/>
  <c r="R27" i="3"/>
  <c r="R13" i="3"/>
  <c r="R26" i="3"/>
  <c r="R19" i="3"/>
  <c r="R14" i="3"/>
  <c r="R15" i="3"/>
  <c r="R20" i="3"/>
  <c r="R21" i="3"/>
  <c r="R23" i="3"/>
  <c r="R22" i="3"/>
  <c r="R25" i="3"/>
  <c r="R24" i="3"/>
  <c r="AB22" i="3"/>
  <c r="AB25" i="3"/>
  <c r="AB24" i="3"/>
  <c r="AB8" i="3"/>
  <c r="AB18" i="3"/>
  <c r="AB9" i="3"/>
  <c r="AB10" i="3"/>
  <c r="AB16" i="3"/>
  <c r="AB7" i="3"/>
  <c r="AB11" i="3"/>
  <c r="AB28" i="3"/>
  <c r="AB12" i="3"/>
  <c r="AB29" i="3"/>
  <c r="AB27" i="3"/>
  <c r="AB13" i="3"/>
  <c r="AB26" i="3"/>
  <c r="AB19" i="3"/>
  <c r="AB14" i="3"/>
  <c r="AB15" i="3"/>
  <c r="AB20" i="3"/>
  <c r="AB21" i="3"/>
  <c r="AB23" i="3"/>
  <c r="L2" i="13"/>
  <c r="P2" i="13"/>
  <c r="R2" i="13"/>
  <c r="T2" i="13"/>
  <c r="V2" i="13"/>
  <c r="X2" i="13"/>
  <c r="AA2" i="13"/>
  <c r="AB2" i="13"/>
  <c r="AD2" i="13"/>
  <c r="AF2" i="13"/>
  <c r="AH2" i="13"/>
  <c r="AM2" i="13"/>
  <c r="AN2" i="13"/>
  <c r="M2" i="13"/>
  <c r="G2" i="13"/>
  <c r="F2" i="13"/>
  <c r="B39" i="10"/>
  <c r="B40" i="10"/>
  <c r="B41" i="10"/>
  <c r="B38" i="10"/>
  <c r="B22" i="10"/>
  <c r="D34" i="10"/>
  <c r="B34" i="10" s="1"/>
  <c r="D26" i="10"/>
  <c r="B27" i="10" s="1"/>
  <c r="D16" i="10"/>
  <c r="B17" i="10" s="1"/>
  <c r="I9" i="13"/>
  <c r="I5" i="13"/>
  <c r="I7" i="13"/>
  <c r="I23" i="13"/>
  <c r="I13" i="13"/>
  <c r="I10" i="13"/>
  <c r="I11" i="13"/>
  <c r="I12" i="13"/>
  <c r="I16" i="13"/>
  <c r="I19" i="13"/>
  <c r="I8" i="13"/>
  <c r="I14" i="13"/>
  <c r="I21" i="13"/>
  <c r="I26" i="13"/>
  <c r="I18" i="13"/>
  <c r="I24" i="13"/>
  <c r="I15" i="13"/>
  <c r="I17" i="13"/>
  <c r="I20" i="13"/>
  <c r="I22" i="13"/>
  <c r="I25" i="13"/>
  <c r="I27" i="13"/>
  <c r="I6" i="13"/>
  <c r="BJ8" i="13" l="1"/>
  <c r="BN8" i="13" s="1"/>
  <c r="BR8" i="13" s="1"/>
  <c r="BU8" i="13" s="1"/>
  <c r="BW8" i="13" s="1"/>
  <c r="E60" i="10"/>
  <c r="M13" i="4" s="1"/>
  <c r="J13" i="4" s="1"/>
  <c r="BU14" i="13"/>
  <c r="BW14" i="13" s="1"/>
  <c r="BJ10" i="13"/>
  <c r="BN10" i="13" s="1"/>
  <c r="BR10" i="13" s="1"/>
  <c r="CC3" i="13"/>
  <c r="H6" i="13"/>
  <c r="H18" i="13"/>
  <c r="H25" i="13"/>
  <c r="H5" i="13"/>
  <c r="CD5" i="13" s="1"/>
  <c r="H17" i="13"/>
  <c r="H20" i="13"/>
  <c r="H7" i="13"/>
  <c r="H13" i="13"/>
  <c r="H9" i="13"/>
  <c r="H22" i="13"/>
  <c r="H8" i="13"/>
  <c r="H21" i="13"/>
  <c r="H10" i="13"/>
  <c r="H26" i="13"/>
  <c r="H16" i="13"/>
  <c r="H12" i="13"/>
  <c r="H24" i="13"/>
  <c r="H14" i="13"/>
  <c r="H19" i="13"/>
  <c r="H11" i="13"/>
  <c r="H27" i="13"/>
  <c r="H15" i="13"/>
  <c r="H23" i="13"/>
  <c r="BJ5" i="13"/>
  <c r="BJ13" i="13"/>
  <c r="BN13" i="13" s="1"/>
  <c r="BR13" i="13" s="1"/>
  <c r="BJ25" i="13"/>
  <c r="BN25" i="13" s="1"/>
  <c r="BR25" i="13" s="1"/>
  <c r="BJ27" i="13"/>
  <c r="BN27" i="13" s="1"/>
  <c r="BR27" i="13" s="1"/>
  <c r="BJ9" i="13"/>
  <c r="BN9" i="13" s="1"/>
  <c r="BR9" i="13" s="1"/>
  <c r="BJ23" i="13"/>
  <c r="BJ21" i="13"/>
  <c r="BN21" i="13" s="1"/>
  <c r="BR21" i="13" s="1"/>
  <c r="BJ6" i="13"/>
  <c r="BN6" i="13" s="1"/>
  <c r="BR6" i="13" s="1"/>
  <c r="BJ19" i="13"/>
  <c r="BN19" i="13" s="1"/>
  <c r="BR19" i="13" s="1"/>
  <c r="BJ7" i="13"/>
  <c r="BN7" i="13" s="1"/>
  <c r="BR7" i="13" s="1"/>
  <c r="BJ16" i="13"/>
  <c r="BN16" i="13" s="1"/>
  <c r="BR16" i="13" s="1"/>
  <c r="BJ18" i="13"/>
  <c r="BN18" i="13" s="1"/>
  <c r="BR18" i="13" s="1"/>
  <c r="K2" i="13"/>
  <c r="BJ24" i="13"/>
  <c r="BN24" i="13" s="1"/>
  <c r="BR24" i="13" s="1"/>
  <c r="BJ11" i="13"/>
  <c r="BN11" i="13" s="1"/>
  <c r="BR11" i="13" s="1"/>
  <c r="BJ26" i="13"/>
  <c r="BN26" i="13" s="1"/>
  <c r="BR26" i="13" s="1"/>
  <c r="BJ15" i="13"/>
  <c r="BN15" i="13" s="1"/>
  <c r="BR15" i="13" s="1"/>
  <c r="J2" i="13"/>
  <c r="BJ20" i="13"/>
  <c r="BN20" i="13" s="1"/>
  <c r="BR20" i="13" s="1"/>
  <c r="BJ12" i="13"/>
  <c r="BN12" i="13" s="1"/>
  <c r="BR12" i="13" s="1"/>
  <c r="BJ17" i="13"/>
  <c r="BN17" i="13" s="1"/>
  <c r="BR17" i="13" s="1"/>
  <c r="BJ22" i="13"/>
  <c r="BN22" i="13" s="1"/>
  <c r="BR22" i="13" s="1"/>
  <c r="BP17" i="13"/>
  <c r="BS17" i="13" s="1"/>
  <c r="BP27" i="13"/>
  <c r="BS27" i="13" s="1"/>
  <c r="BP24" i="13"/>
  <c r="BS24" i="13" s="1"/>
  <c r="BP6" i="13"/>
  <c r="BS6" i="13" s="1"/>
  <c r="BP25" i="13"/>
  <c r="BS25" i="13" s="1"/>
  <c r="BS15" i="13"/>
  <c r="BP9" i="13"/>
  <c r="BS9" i="13" s="1"/>
  <c r="BP10" i="13"/>
  <c r="BS10" i="13" s="1"/>
  <c r="BP26" i="13"/>
  <c r="BS26" i="13" s="1"/>
  <c r="BP22" i="13"/>
  <c r="BS22" i="13" s="1"/>
  <c r="BP21" i="13"/>
  <c r="BS21" i="13" s="1"/>
  <c r="BP5" i="13"/>
  <c r="BS5" i="13" s="1"/>
  <c r="BP14" i="13"/>
  <c r="BS14" i="13" s="1"/>
  <c r="BP11" i="13"/>
  <c r="BS11" i="13" s="1"/>
  <c r="BP18" i="13"/>
  <c r="BS18" i="13" s="1"/>
  <c r="BP8" i="13"/>
  <c r="BS8" i="13" s="1"/>
  <c r="BP19" i="13"/>
  <c r="BS19" i="13" s="1"/>
  <c r="BP16" i="13"/>
  <c r="BS16" i="13" s="1"/>
  <c r="BP20" i="13"/>
  <c r="BS20" i="13" s="1"/>
  <c r="BP13" i="13"/>
  <c r="BS13" i="13" s="1"/>
  <c r="BP12" i="13"/>
  <c r="BS12" i="13" s="1"/>
  <c r="BS23" i="13"/>
  <c r="AT2" i="13"/>
  <c r="B25" i="10"/>
  <c r="B20" i="10"/>
  <c r="B24" i="10"/>
  <c r="B23" i="10"/>
  <c r="B16" i="10"/>
  <c r="E16" i="10" s="1"/>
  <c r="E17" i="10" s="1"/>
  <c r="AT7" i="3"/>
  <c r="AT20" i="3"/>
  <c r="AR15" i="3"/>
  <c r="AS15" i="3" s="1"/>
  <c r="AT26" i="3"/>
  <c r="AR18" i="3"/>
  <c r="AS18" i="3" s="1"/>
  <c r="AT10" i="3"/>
  <c r="AR12" i="3"/>
  <c r="AS12" i="3" s="1"/>
  <c r="AR22" i="3"/>
  <c r="AS22" i="3" s="1"/>
  <c r="AR21" i="3"/>
  <c r="AS21" i="3" s="1"/>
  <c r="AR7" i="3"/>
  <c r="AR9" i="3"/>
  <c r="AS9" i="3" s="1"/>
  <c r="AR20" i="3"/>
  <c r="AS20" i="3" s="1"/>
  <c r="AT28" i="3"/>
  <c r="AT11" i="3"/>
  <c r="AR28" i="3"/>
  <c r="AS28" i="3" s="1"/>
  <c r="AT14" i="3"/>
  <c r="AT12" i="3"/>
  <c r="AU12" i="3" s="1"/>
  <c r="AT29" i="3"/>
  <c r="AR8" i="3"/>
  <c r="AS8" i="3" s="1"/>
  <c r="AR16" i="3"/>
  <c r="AS16" i="3" s="1"/>
  <c r="N5" i="3"/>
  <c r="AR14" i="3"/>
  <c r="AS14" i="3" s="1"/>
  <c r="AT13" i="3"/>
  <c r="AR27" i="3"/>
  <c r="AS27" i="3" s="1"/>
  <c r="AR19" i="3"/>
  <c r="AS19" i="3" s="1"/>
  <c r="AR26" i="3"/>
  <c r="AS26" i="3" s="1"/>
  <c r="AT17" i="3"/>
  <c r="AR17" i="3"/>
  <c r="AS17" i="3" s="1"/>
  <c r="AR11" i="3"/>
  <c r="AS11" i="3" s="1"/>
  <c r="R5" i="3"/>
  <c r="AR25" i="3"/>
  <c r="AS25" i="3" s="1"/>
  <c r="AR13" i="3"/>
  <c r="AS13" i="3" s="1"/>
  <c r="AJ19" i="3"/>
  <c r="AT27" i="3"/>
  <c r="AX24" i="3"/>
  <c r="AR29" i="3"/>
  <c r="AS29" i="3" s="1"/>
  <c r="AB5" i="3"/>
  <c r="AR23" i="3"/>
  <c r="AS23" i="3" s="1"/>
  <c r="AR10" i="3"/>
  <c r="AS10" i="3" s="1"/>
  <c r="AT16" i="3"/>
  <c r="K5" i="3"/>
  <c r="L5" i="3"/>
  <c r="Q5" i="3"/>
  <c r="M5" i="3"/>
  <c r="P5" i="3"/>
  <c r="G5" i="3"/>
  <c r="F5" i="3"/>
  <c r="H5" i="3"/>
  <c r="I5" i="3"/>
  <c r="AZ8" i="3"/>
  <c r="S17" i="3"/>
  <c r="AZ28" i="3"/>
  <c r="AZ25" i="3"/>
  <c r="AZ11" i="3"/>
  <c r="AZ20" i="3"/>
  <c r="AZ9" i="3"/>
  <c r="AZ13" i="3"/>
  <c r="AZ23" i="3"/>
  <c r="AZ10" i="3"/>
  <c r="AZ26" i="3"/>
  <c r="AZ15" i="3"/>
  <c r="AZ18" i="3"/>
  <c r="AZ16" i="3"/>
  <c r="AZ21" i="3"/>
  <c r="AZ14" i="3"/>
  <c r="AZ27" i="3"/>
  <c r="AZ7" i="3"/>
  <c r="AZ19" i="3"/>
  <c r="AZ29" i="3"/>
  <c r="AZ12" i="3"/>
  <c r="AZ22" i="3"/>
  <c r="O7" i="17"/>
  <c r="AR2" i="13"/>
  <c r="AP2" i="13"/>
  <c r="O9" i="17"/>
  <c r="O8" i="17"/>
  <c r="W15" i="3"/>
  <c r="AQ2" i="13"/>
  <c r="T22" i="3"/>
  <c r="S16" i="3"/>
  <c r="S23" i="3"/>
  <c r="S20" i="3"/>
  <c r="S24" i="3"/>
  <c r="S13" i="3"/>
  <c r="S29" i="3"/>
  <c r="S27" i="3"/>
  <c r="S12" i="3"/>
  <c r="S21" i="3"/>
  <c r="S10" i="3"/>
  <c r="S7" i="3"/>
  <c r="S9" i="3"/>
  <c r="S28" i="3"/>
  <c r="S11" i="3"/>
  <c r="S22" i="3"/>
  <c r="S15" i="3"/>
  <c r="S18" i="3"/>
  <c r="S14" i="3"/>
  <c r="S8" i="3"/>
  <c r="S25" i="3"/>
  <c r="S19" i="3"/>
  <c r="S26" i="3"/>
  <c r="T16" i="3"/>
  <c r="AD16" i="3" s="1"/>
  <c r="T8" i="3"/>
  <c r="U8" i="3"/>
  <c r="T17" i="3"/>
  <c r="B26" i="10"/>
  <c r="B33" i="10"/>
  <c r="B32" i="10"/>
  <c r="B31" i="10"/>
  <c r="B30" i="10"/>
  <c r="B28" i="10"/>
  <c r="B29" i="10"/>
  <c r="B37" i="10"/>
  <c r="B36" i="10"/>
  <c r="B35" i="10"/>
  <c r="B19" i="10"/>
  <c r="B18" i="10"/>
  <c r="V10" i="3"/>
  <c r="V8" i="3"/>
  <c r="W23" i="3"/>
  <c r="X19" i="3"/>
  <c r="T15" i="3"/>
  <c r="AD15" i="3" s="1"/>
  <c r="AE15" i="3" s="1"/>
  <c r="T10" i="3"/>
  <c r="W9" i="3"/>
  <c r="T9" i="3"/>
  <c r="X17" i="3"/>
  <c r="W20" i="3"/>
  <c r="X12" i="3"/>
  <c r="AD12" i="3" s="1"/>
  <c r="AE12" i="3" s="1"/>
  <c r="T18" i="3"/>
  <c r="AD18" i="3" s="1"/>
  <c r="Y17" i="3"/>
  <c r="Z11" i="3"/>
  <c r="Y24" i="3"/>
  <c r="AA28" i="3"/>
  <c r="U19" i="3"/>
  <c r="Y25" i="3"/>
  <c r="U26" i="3"/>
  <c r="Y15" i="3"/>
  <c r="AF15" i="3" s="1"/>
  <c r="AG15" i="3" s="1"/>
  <c r="Y14" i="3"/>
  <c r="AF14" i="3" s="1"/>
  <c r="AG14" i="3" s="1"/>
  <c r="X8" i="3"/>
  <c r="V28" i="3"/>
  <c r="Z14" i="3"/>
  <c r="V9" i="3"/>
  <c r="V16" i="3"/>
  <c r="Y12" i="3"/>
  <c r="Z26" i="3"/>
  <c r="AH26" i="3" s="1"/>
  <c r="W21" i="3"/>
  <c r="AJ21" i="3" s="1"/>
  <c r="Y28" i="3"/>
  <c r="U12" i="3"/>
  <c r="W10" i="3"/>
  <c r="Z19" i="3"/>
  <c r="Z27" i="3"/>
  <c r="AH27" i="3" s="1"/>
  <c r="V24" i="3"/>
  <c r="AH24" i="3" s="1"/>
  <c r="AI24" i="3" s="1"/>
  <c r="AA24" i="3"/>
  <c r="T23" i="3"/>
  <c r="V23" i="3"/>
  <c r="AA25" i="3"/>
  <c r="Y10" i="3"/>
  <c r="AF10" i="3" s="1"/>
  <c r="AG10" i="3" s="1"/>
  <c r="T21" i="3"/>
  <c r="V21" i="3"/>
  <c r="X24" i="3"/>
  <c r="AD24" i="3" s="1"/>
  <c r="T20" i="3"/>
  <c r="V20" i="3"/>
  <c r="X25" i="3"/>
  <c r="AD25" i="3" s="1"/>
  <c r="Z20" i="3"/>
  <c r="Y23" i="3"/>
  <c r="AF23" i="3" s="1"/>
  <c r="AG23" i="3" s="1"/>
  <c r="Z10" i="3"/>
  <c r="Y22" i="3"/>
  <c r="Y26" i="3"/>
  <c r="T14" i="3"/>
  <c r="AD14" i="3" s="1"/>
  <c r="V17" i="3"/>
  <c r="W17" i="3"/>
  <c r="Y21" i="3"/>
  <c r="AF21" i="3" s="1"/>
  <c r="AG21" i="3" s="1"/>
  <c r="Z9" i="3"/>
  <c r="T7" i="3"/>
  <c r="AA22" i="3"/>
  <c r="AJ22" i="3" s="1"/>
  <c r="X10" i="3"/>
  <c r="AA26" i="3"/>
  <c r="V14" i="3"/>
  <c r="AA27" i="3"/>
  <c r="Z7" i="3"/>
  <c r="T19" i="3"/>
  <c r="X22" i="3"/>
  <c r="X21" i="3"/>
  <c r="W14" i="3"/>
  <c r="X27" i="3"/>
  <c r="Z23" i="3"/>
  <c r="V19" i="3"/>
  <c r="W26" i="3"/>
  <c r="X29" i="3"/>
  <c r="AD29" i="3" s="1"/>
  <c r="AA9" i="3"/>
  <c r="X26" i="3"/>
  <c r="Y16" i="3"/>
  <c r="AF16" i="3" s="1"/>
  <c r="AG16" i="3" s="1"/>
  <c r="Z22" i="3"/>
  <c r="V29" i="3"/>
  <c r="W12" i="3"/>
  <c r="X28" i="3"/>
  <c r="AD28" i="3" s="1"/>
  <c r="Z21" i="3"/>
  <c r="AA16" i="3"/>
  <c r="Z16" i="3"/>
  <c r="T26" i="3"/>
  <c r="Z28" i="3"/>
  <c r="Z17" i="3"/>
  <c r="V12" i="3"/>
  <c r="W16" i="3"/>
  <c r="X7" i="3"/>
  <c r="Z15" i="3"/>
  <c r="U27" i="3"/>
  <c r="AF27" i="3" s="1"/>
  <c r="AG27" i="3" s="1"/>
  <c r="Y11" i="3"/>
  <c r="Z18" i="3"/>
  <c r="AA13" i="3"/>
  <c r="U13" i="3"/>
  <c r="AF13" i="3" s="1"/>
  <c r="AG13" i="3" s="1"/>
  <c r="V25" i="3"/>
  <c r="AH25" i="3" s="1"/>
  <c r="V11" i="3"/>
  <c r="W18" i="3"/>
  <c r="X13" i="3"/>
  <c r="Y7" i="3"/>
  <c r="Z8" i="3"/>
  <c r="AA29" i="3"/>
  <c r="U29" i="3"/>
  <c r="AF29" i="3" s="1"/>
  <c r="AG29" i="3" s="1"/>
  <c r="V22" i="3"/>
  <c r="V7" i="3"/>
  <c r="AA17" i="3"/>
  <c r="AA12" i="3"/>
  <c r="AJ12" i="3" s="1"/>
  <c r="U24" i="3"/>
  <c r="U28" i="3"/>
  <c r="Y20" i="3"/>
  <c r="AF20" i="3" s="1"/>
  <c r="AG20" i="3" s="1"/>
  <c r="Y9" i="3"/>
  <c r="AF9" i="3" s="1"/>
  <c r="AG9" i="3" s="1"/>
  <c r="AA11" i="3"/>
  <c r="U25" i="3"/>
  <c r="U11" i="3"/>
  <c r="W27" i="3"/>
  <c r="X11" i="3"/>
  <c r="AD11" i="3" s="1"/>
  <c r="AE11" i="3" s="1"/>
  <c r="Y18" i="3"/>
  <c r="AF18" i="3" s="1"/>
  <c r="AG18" i="3" s="1"/>
  <c r="Z13" i="3"/>
  <c r="AH13" i="3" s="1"/>
  <c r="AA7" i="3"/>
  <c r="AJ7" i="3" s="1"/>
  <c r="T27" i="3"/>
  <c r="U22" i="3"/>
  <c r="AF22" i="3" s="1"/>
  <c r="AG22" i="3" s="1"/>
  <c r="U7" i="3"/>
  <c r="V15" i="3"/>
  <c r="V18" i="3"/>
  <c r="W13" i="3"/>
  <c r="Y8" i="3"/>
  <c r="Z29" i="3"/>
  <c r="AA23" i="3"/>
  <c r="T13" i="3"/>
  <c r="W29" i="3"/>
  <c r="X23" i="3"/>
  <c r="Y19" i="3"/>
  <c r="Z12" i="3"/>
  <c r="AA10" i="3"/>
  <c r="AA20" i="3"/>
  <c r="W24" i="3"/>
  <c r="W28" i="3"/>
  <c r="X20" i="3"/>
  <c r="X9" i="3"/>
  <c r="AA15" i="3"/>
  <c r="AA18" i="3"/>
  <c r="W25" i="3"/>
  <c r="W11" i="3"/>
  <c r="AA14" i="3"/>
  <c r="AA8" i="3"/>
  <c r="AJ8" i="3" s="1"/>
  <c r="J8" i="4"/>
  <c r="L8" i="4" s="1"/>
  <c r="I2" i="13"/>
  <c r="C59" i="10" s="1"/>
  <c r="E59" i="10" s="1"/>
  <c r="AO2" i="13"/>
  <c r="BN5" i="13" l="1"/>
  <c r="BR5" i="13" s="1"/>
  <c r="BU5" i="13" s="1"/>
  <c r="BW5" i="13" s="1"/>
  <c r="M12" i="4"/>
  <c r="J12" i="4" s="1"/>
  <c r="J14" i="4" s="1"/>
  <c r="BN23" i="13"/>
  <c r="BR23" i="13" s="1"/>
  <c r="BU23" i="13" s="1"/>
  <c r="BW23" i="13" s="1"/>
  <c r="BU16" i="13"/>
  <c r="BW16" i="13" s="1"/>
  <c r="BX17" i="13"/>
  <c r="BU19" i="13"/>
  <c r="BW19" i="13" s="1"/>
  <c r="BX14" i="13"/>
  <c r="BU12" i="13"/>
  <c r="BW12" i="13" s="1"/>
  <c r="BX22" i="13"/>
  <c r="BX26" i="13"/>
  <c r="BX23" i="13"/>
  <c r="BX10" i="13"/>
  <c r="BU15" i="13"/>
  <c r="BW15" i="13" s="1"/>
  <c r="BU25" i="13"/>
  <c r="BW25" i="13" s="1"/>
  <c r="BU10" i="13"/>
  <c r="BW10" i="13" s="1"/>
  <c r="BX24" i="13"/>
  <c r="BX8" i="13"/>
  <c r="BU7" i="13"/>
  <c r="BW7" i="13" s="1"/>
  <c r="BX11" i="13"/>
  <c r="BU22" i="13"/>
  <c r="BW22" i="13" s="1"/>
  <c r="BX5" i="13"/>
  <c r="BU21" i="13"/>
  <c r="BW21" i="13" s="1"/>
  <c r="BX21" i="13"/>
  <c r="BU20" i="13"/>
  <c r="BW20" i="13" s="1"/>
  <c r="BU27" i="13"/>
  <c r="BW27" i="13" s="1"/>
  <c r="BX12" i="13"/>
  <c r="BU13" i="13"/>
  <c r="BW13" i="13" s="1"/>
  <c r="BX13" i="13"/>
  <c r="BX15" i="13"/>
  <c r="BU11" i="13"/>
  <c r="BW11" i="13" s="1"/>
  <c r="BV8" i="13"/>
  <c r="BU18" i="13"/>
  <c r="BW18" i="13" s="1"/>
  <c r="BX27" i="13"/>
  <c r="BX18" i="13"/>
  <c r="BU6" i="13"/>
  <c r="BW6" i="13" s="1"/>
  <c r="BU17" i="13"/>
  <c r="BW17" i="13" s="1"/>
  <c r="BU9" i="13"/>
  <c r="BW9" i="13" s="1"/>
  <c r="BU26" i="13"/>
  <c r="BW26" i="13" s="1"/>
  <c r="BX20" i="13"/>
  <c r="BX25" i="13"/>
  <c r="BU24" i="13"/>
  <c r="BW24" i="13" s="1"/>
  <c r="BX19" i="13"/>
  <c r="BX9" i="13"/>
  <c r="BX16" i="13"/>
  <c r="BX6" i="13"/>
  <c r="BV14" i="13"/>
  <c r="CE23" i="13"/>
  <c r="CJ23" i="13" s="1"/>
  <c r="CA23" i="13"/>
  <c r="CF23" i="13" s="1"/>
  <c r="CD23" i="13"/>
  <c r="CI23" i="13" s="1"/>
  <c r="CB23" i="13"/>
  <c r="CG23" i="13" s="1"/>
  <c r="CB26" i="13"/>
  <c r="CG26" i="13" s="1"/>
  <c r="CD26" i="13"/>
  <c r="CI26" i="13" s="1"/>
  <c r="CE26" i="13"/>
  <c r="CJ26" i="13" s="1"/>
  <c r="CA26" i="13"/>
  <c r="CB10" i="13"/>
  <c r="CG10" i="13" s="1"/>
  <c r="CD10" i="13"/>
  <c r="CI10" i="13" s="1"/>
  <c r="CE10" i="13"/>
  <c r="CJ10" i="13" s="1"/>
  <c r="CA10" i="13"/>
  <c r="CF10" i="13" s="1"/>
  <c r="CD21" i="13"/>
  <c r="CI21" i="13" s="1"/>
  <c r="CE21" i="13"/>
  <c r="CJ21" i="13" s="1"/>
  <c r="CA21" i="13"/>
  <c r="CF21" i="13" s="1"/>
  <c r="CB21" i="13"/>
  <c r="CG21" i="13" s="1"/>
  <c r="CD8" i="13"/>
  <c r="CI8" i="13" s="1"/>
  <c r="CB8" i="13"/>
  <c r="CG8" i="13" s="1"/>
  <c r="CE8" i="13"/>
  <c r="CJ8" i="13" s="1"/>
  <c r="CA8" i="13"/>
  <c r="CF8" i="13" s="1"/>
  <c r="CD22" i="13"/>
  <c r="CI22" i="13" s="1"/>
  <c r="CE22" i="13"/>
  <c r="CJ22" i="13" s="1"/>
  <c r="CB22" i="13"/>
  <c r="CG22" i="13" s="1"/>
  <c r="CA22" i="13"/>
  <c r="CF22" i="13" s="1"/>
  <c r="CE15" i="13"/>
  <c r="CJ15" i="13" s="1"/>
  <c r="CA15" i="13"/>
  <c r="CF15" i="13" s="1"/>
  <c r="CB15" i="13"/>
  <c r="CG15" i="13" s="1"/>
  <c r="CD15" i="13"/>
  <c r="CI15" i="13" s="1"/>
  <c r="CD27" i="13"/>
  <c r="CI27" i="13" s="1"/>
  <c r="CB27" i="13"/>
  <c r="CG27" i="13" s="1"/>
  <c r="CA27" i="13"/>
  <c r="CF27" i="13" s="1"/>
  <c r="CE27" i="13"/>
  <c r="CJ27" i="13" s="1"/>
  <c r="CA7" i="13"/>
  <c r="CF7" i="13" s="1"/>
  <c r="CE7" i="13"/>
  <c r="CJ7" i="13" s="1"/>
  <c r="CB7" i="13"/>
  <c r="CG7" i="13" s="1"/>
  <c r="CD7" i="13"/>
  <c r="CI7" i="13" s="1"/>
  <c r="CK7" i="13" s="1"/>
  <c r="CA19" i="13"/>
  <c r="CF19" i="13" s="1"/>
  <c r="CB19" i="13"/>
  <c r="CG19" i="13" s="1"/>
  <c r="CD19" i="13"/>
  <c r="CI19" i="13" s="1"/>
  <c r="CE19" i="13"/>
  <c r="CJ19" i="13" s="1"/>
  <c r="CE17" i="13"/>
  <c r="CJ17" i="13" s="1"/>
  <c r="CA17" i="13"/>
  <c r="CF17" i="13" s="1"/>
  <c r="CB17" i="13"/>
  <c r="CG17" i="13" s="1"/>
  <c r="CD17" i="13"/>
  <c r="CI17" i="13" s="1"/>
  <c r="CD9" i="13"/>
  <c r="CI9" i="13" s="1"/>
  <c r="CE9" i="13"/>
  <c r="CJ9" i="13" s="1"/>
  <c r="CB9" i="13"/>
  <c r="CG9" i="13" s="1"/>
  <c r="CA9" i="13"/>
  <c r="CF9" i="13" s="1"/>
  <c r="CB11" i="13"/>
  <c r="CG11" i="13" s="1"/>
  <c r="CD11" i="13"/>
  <c r="CI11" i="13" s="1"/>
  <c r="CA11" i="13"/>
  <c r="CF11" i="13" s="1"/>
  <c r="CE11" i="13"/>
  <c r="CJ11" i="13" s="1"/>
  <c r="CA20" i="13"/>
  <c r="CF20" i="13" s="1"/>
  <c r="CE20" i="13"/>
  <c r="CJ20" i="13" s="1"/>
  <c r="CB20" i="13"/>
  <c r="CG20" i="13" s="1"/>
  <c r="CD20" i="13"/>
  <c r="CI20" i="13" s="1"/>
  <c r="CB14" i="13"/>
  <c r="CG14" i="13" s="1"/>
  <c r="CE14" i="13"/>
  <c r="CJ14" i="13" s="1"/>
  <c r="CD14" i="13"/>
  <c r="CI14" i="13" s="1"/>
  <c r="CA14" i="13"/>
  <c r="CF14" i="13" s="1"/>
  <c r="CI5" i="13"/>
  <c r="CE5" i="13"/>
  <c r="CJ5" i="13" s="1"/>
  <c r="CA5" i="13"/>
  <c r="CF5" i="13" s="1"/>
  <c r="CB5" i="13"/>
  <c r="CG5" i="13" s="1"/>
  <c r="CB24" i="13"/>
  <c r="CG24" i="13" s="1"/>
  <c r="CD24" i="13"/>
  <c r="CI24" i="13" s="1"/>
  <c r="CA24" i="13"/>
  <c r="CF24" i="13" s="1"/>
  <c r="CE24" i="13"/>
  <c r="CJ24" i="13" s="1"/>
  <c r="CD25" i="13"/>
  <c r="CI25" i="13" s="1"/>
  <c r="CE25" i="13"/>
  <c r="CJ25" i="13" s="1"/>
  <c r="CA25" i="13"/>
  <c r="CF25" i="13" s="1"/>
  <c r="CB25" i="13"/>
  <c r="CG25" i="13" s="1"/>
  <c r="CB12" i="13"/>
  <c r="CG12" i="13" s="1"/>
  <c r="CD12" i="13"/>
  <c r="CI12" i="13" s="1"/>
  <c r="CA12" i="13"/>
  <c r="CF12" i="13" s="1"/>
  <c r="CE12" i="13"/>
  <c r="CJ12" i="13" s="1"/>
  <c r="CE18" i="13"/>
  <c r="CJ18" i="13" s="1"/>
  <c r="CD18" i="13"/>
  <c r="CI18" i="13" s="1"/>
  <c r="CK18" i="13" s="1"/>
  <c r="CA18" i="13"/>
  <c r="CF18" i="13" s="1"/>
  <c r="CB18" i="13"/>
  <c r="CG18" i="13" s="1"/>
  <c r="CD13" i="13"/>
  <c r="CI13" i="13" s="1"/>
  <c r="CE13" i="13"/>
  <c r="CJ13" i="13" s="1"/>
  <c r="CA13" i="13"/>
  <c r="CF13" i="13" s="1"/>
  <c r="CB13" i="13"/>
  <c r="CG13" i="13" s="1"/>
  <c r="CE16" i="13"/>
  <c r="CJ16" i="13" s="1"/>
  <c r="CA16" i="13"/>
  <c r="CF16" i="13" s="1"/>
  <c r="CB16" i="13"/>
  <c r="CG16" i="13" s="1"/>
  <c r="CD16" i="13"/>
  <c r="CI16" i="13" s="1"/>
  <c r="CE6" i="13"/>
  <c r="CJ6" i="13" s="1"/>
  <c r="CA6" i="13"/>
  <c r="CF6" i="13" s="1"/>
  <c r="CD6" i="13"/>
  <c r="CI6" i="13" s="1"/>
  <c r="CB6" i="13"/>
  <c r="CG6" i="13" s="1"/>
  <c r="E18" i="10"/>
  <c r="AK19" i="3"/>
  <c r="AI25" i="3"/>
  <c r="AH18" i="3"/>
  <c r="AI18" i="3" s="1"/>
  <c r="AS7" i="3"/>
  <c r="AO5" i="3"/>
  <c r="C69" i="10" s="1"/>
  <c r="AN5" i="3"/>
  <c r="AM5" i="3"/>
  <c r="C67" i="10" s="1"/>
  <c r="AL5" i="3"/>
  <c r="C66" i="10" s="1"/>
  <c r="AE14" i="3"/>
  <c r="AD13" i="3"/>
  <c r="AE13" i="3" s="1"/>
  <c r="AK22" i="3"/>
  <c r="AF12" i="3"/>
  <c r="AG12" i="3" s="1"/>
  <c r="AK21" i="3"/>
  <c r="AJ18" i="3"/>
  <c r="AK18" i="3" s="1"/>
  <c r="AF8" i="3"/>
  <c r="AG8" i="3" s="1"/>
  <c r="AI13" i="3"/>
  <c r="AK8" i="3"/>
  <c r="AE25" i="3"/>
  <c r="AI27" i="3"/>
  <c r="AH14" i="3"/>
  <c r="AI14" i="3" s="1"/>
  <c r="AF26" i="3"/>
  <c r="AG26" i="3" s="1"/>
  <c r="AJ14" i="3"/>
  <c r="AK14" i="3" s="1"/>
  <c r="AJ9" i="3"/>
  <c r="AK9" i="3" s="1"/>
  <c r="AH20" i="3"/>
  <c r="AI20" i="3" s="1"/>
  <c r="AF19" i="3"/>
  <c r="AG19" i="3" s="1"/>
  <c r="AD22" i="3"/>
  <c r="AE22" i="3" s="1"/>
  <c r="AD20" i="3"/>
  <c r="AE20" i="3" s="1"/>
  <c r="AE24" i="3"/>
  <c r="AH10" i="3"/>
  <c r="AI10" i="3" s="1"/>
  <c r="AE29" i="3"/>
  <c r="AJ28" i="3"/>
  <c r="AK28" i="3" s="1"/>
  <c r="AD7" i="3"/>
  <c r="AE7" i="3" s="1"/>
  <c r="AF25" i="3"/>
  <c r="AG25" i="3" s="1"/>
  <c r="AI26" i="3"/>
  <c r="AD21" i="3"/>
  <c r="AE21" i="3" s="1"/>
  <c r="AH7" i="3"/>
  <c r="AI7" i="3" s="1"/>
  <c r="AH12" i="3"/>
  <c r="AI12" i="3" s="1"/>
  <c r="AF11" i="3"/>
  <c r="AG11" i="3" s="1"/>
  <c r="AH19" i="3"/>
  <c r="AI19" i="3" s="1"/>
  <c r="AH21" i="3"/>
  <c r="AI21" i="3" s="1"/>
  <c r="AD26" i="3"/>
  <c r="AE26" i="3" s="1"/>
  <c r="AD8" i="3"/>
  <c r="AE8" i="3" s="1"/>
  <c r="AE18" i="3"/>
  <c r="AE16" i="3"/>
  <c r="AD17" i="3"/>
  <c r="T5" i="3"/>
  <c r="AJ15" i="3"/>
  <c r="AK15" i="3" s="1"/>
  <c r="S5" i="3"/>
  <c r="AH9" i="3"/>
  <c r="AI9" i="3" s="1"/>
  <c r="AF28" i="3"/>
  <c r="AG28" i="3" s="1"/>
  <c r="AH11" i="3"/>
  <c r="AI11" i="3" s="1"/>
  <c r="AJ25" i="3"/>
  <c r="AK25" i="3" s="1"/>
  <c r="AH23" i="3"/>
  <c r="AI23" i="3" s="1"/>
  <c r="AE28" i="3"/>
  <c r="AF7" i="3"/>
  <c r="AG7" i="3" s="1"/>
  <c r="AF24" i="3"/>
  <c r="AG24" i="3" s="1"/>
  <c r="AJ13" i="3"/>
  <c r="AK13" i="3" s="1"/>
  <c r="AD23" i="3"/>
  <c r="AE23" i="3" s="1"/>
  <c r="AH28" i="3"/>
  <c r="AI28" i="3" s="1"/>
  <c r="X5" i="3"/>
  <c r="AH8" i="3"/>
  <c r="AI8" i="3" s="1"/>
  <c r="AJ23" i="3"/>
  <c r="AK23" i="3" s="1"/>
  <c r="Y5" i="3"/>
  <c r="AF17" i="3"/>
  <c r="AJ16" i="3"/>
  <c r="AK16" i="3" s="1"/>
  <c r="AH17" i="3"/>
  <c r="V5" i="3"/>
  <c r="AD19" i="3"/>
  <c r="AE19" i="3" s="1"/>
  <c r="AJ24" i="3"/>
  <c r="AK24" i="3" s="1"/>
  <c r="AD9" i="3"/>
  <c r="AE9" i="3" s="1"/>
  <c r="AJ29" i="3"/>
  <c r="AK29" i="3" s="1"/>
  <c r="W5" i="3"/>
  <c r="AH16" i="3"/>
  <c r="AI16" i="3" s="1"/>
  <c r="AH15" i="3"/>
  <c r="AI15" i="3" s="1"/>
  <c r="AJ20" i="3"/>
  <c r="AK20" i="3" s="1"/>
  <c r="AK12" i="3"/>
  <c r="AJ10" i="3"/>
  <c r="AK10" i="3" s="1"/>
  <c r="AD27" i="3"/>
  <c r="AE27" i="3" s="1"/>
  <c r="AJ17" i="3"/>
  <c r="AA5" i="3"/>
  <c r="AH29" i="3"/>
  <c r="AI29" i="3" s="1"/>
  <c r="AK7" i="3"/>
  <c r="AD10" i="3"/>
  <c r="AE10" i="3" s="1"/>
  <c r="Z5" i="3"/>
  <c r="AJ27" i="3"/>
  <c r="AK27" i="3" s="1"/>
  <c r="AH22" i="3"/>
  <c r="AI22" i="3" s="1"/>
  <c r="AJ11" i="3"/>
  <c r="AK11" i="3" s="1"/>
  <c r="AJ26" i="3"/>
  <c r="AK26" i="3" s="1"/>
  <c r="U5" i="3"/>
  <c r="AU26" i="3"/>
  <c r="AY12" i="3"/>
  <c r="AU17" i="3"/>
  <c r="AX23" i="3"/>
  <c r="AX18" i="3"/>
  <c r="AX15" i="3"/>
  <c r="AX26" i="3"/>
  <c r="AX19" i="3"/>
  <c r="AX27" i="3"/>
  <c r="AX9" i="3"/>
  <c r="AX17" i="3"/>
  <c r="AX8" i="3"/>
  <c r="AX11" i="3"/>
  <c r="AX12" i="3"/>
  <c r="AX29" i="3"/>
  <c r="AX10" i="3"/>
  <c r="AX7" i="3"/>
  <c r="AX13" i="3"/>
  <c r="AX20" i="3"/>
  <c r="AX25" i="3"/>
  <c r="AX28" i="3"/>
  <c r="AX21" i="3"/>
  <c r="AX22" i="3"/>
  <c r="AX14" i="3"/>
  <c r="AX16" i="3"/>
  <c r="AY25" i="3"/>
  <c r="AY23" i="3"/>
  <c r="AU27" i="3"/>
  <c r="AY19" i="3"/>
  <c r="AU28" i="3"/>
  <c r="AU9" i="3"/>
  <c r="AY15" i="3"/>
  <c r="AU10" i="3"/>
  <c r="AU29" i="3"/>
  <c r="AY18" i="3"/>
  <c r="AU11" i="3"/>
  <c r="AU14" i="3"/>
  <c r="AU20" i="3"/>
  <c r="AU8" i="3"/>
  <c r="AU16" i="3"/>
  <c r="AU7" i="3"/>
  <c r="AU22" i="3"/>
  <c r="AY21" i="3"/>
  <c r="AU13" i="3"/>
  <c r="AY24" i="3"/>
  <c r="E19" i="10"/>
  <c r="E20" i="10" s="1"/>
  <c r="E21" i="10" s="1"/>
  <c r="E22" i="10" s="1"/>
  <c r="E23" i="10" s="1"/>
  <c r="E24" i="10" s="1"/>
  <c r="E25" i="10" s="1"/>
  <c r="E26" i="10" s="1"/>
  <c r="E27" i="10" s="1"/>
  <c r="E28" i="10" s="1"/>
  <c r="CF26" i="13" l="1"/>
  <c r="CH26" i="13" s="1"/>
  <c r="CH5" i="13"/>
  <c r="CK20" i="13"/>
  <c r="CK6" i="13"/>
  <c r="CK16" i="13"/>
  <c r="CK15" i="13"/>
  <c r="CH27" i="13"/>
  <c r="CK23" i="13"/>
  <c r="BY16" i="13"/>
  <c r="BY9" i="13"/>
  <c r="BY8" i="13"/>
  <c r="BY19" i="13"/>
  <c r="BY24" i="13"/>
  <c r="BV24" i="13"/>
  <c r="BV12" i="13"/>
  <c r="BY25" i="13"/>
  <c r="BY18" i="13"/>
  <c r="BY13" i="13"/>
  <c r="BY5" i="13"/>
  <c r="BV25" i="13"/>
  <c r="BY14" i="13"/>
  <c r="CH17" i="13"/>
  <c r="BV9" i="13"/>
  <c r="BV23" i="13"/>
  <c r="BV5" i="13"/>
  <c r="BY26" i="13"/>
  <c r="CK5" i="13"/>
  <c r="BV17" i="13"/>
  <c r="BV11" i="13"/>
  <c r="BY22" i="13"/>
  <c r="CK12" i="13"/>
  <c r="BV6" i="13"/>
  <c r="BV21" i="13"/>
  <c r="BY20" i="13"/>
  <c r="BY27" i="13"/>
  <c r="BV13" i="13"/>
  <c r="BV22" i="13"/>
  <c r="BV15" i="13"/>
  <c r="BV19" i="13"/>
  <c r="CH10" i="13"/>
  <c r="CH24" i="13"/>
  <c r="BY6" i="13"/>
  <c r="BV26" i="13"/>
  <c r="BV18" i="13"/>
  <c r="BY12" i="13"/>
  <c r="BY11" i="13"/>
  <c r="BY10" i="13"/>
  <c r="BY17" i="13"/>
  <c r="BV20" i="13"/>
  <c r="BY21" i="13"/>
  <c r="CK8" i="13"/>
  <c r="BY15" i="13"/>
  <c r="BV10" i="13"/>
  <c r="CH22" i="13"/>
  <c r="BV27" i="13"/>
  <c r="BV7" i="13"/>
  <c r="BY23" i="13"/>
  <c r="BV16" i="13"/>
  <c r="CK25" i="13"/>
  <c r="CK13" i="13"/>
  <c r="CK19" i="13"/>
  <c r="CK11" i="13"/>
  <c r="CH9" i="13"/>
  <c r="CH8" i="13"/>
  <c r="CK26" i="13"/>
  <c r="CK21" i="13"/>
  <c r="CK24" i="13"/>
  <c r="CK10" i="13"/>
  <c r="CK22" i="13"/>
  <c r="CH12" i="13"/>
  <c r="CK14" i="13"/>
  <c r="CK9" i="13"/>
  <c r="CK17" i="13"/>
  <c r="CH25" i="13"/>
  <c r="CK27" i="13"/>
  <c r="CH21" i="13"/>
  <c r="CH18" i="13"/>
  <c r="CH11" i="13"/>
  <c r="CH19" i="13"/>
  <c r="CH14" i="13"/>
  <c r="CH13" i="13"/>
  <c r="CH15" i="13"/>
  <c r="CH6" i="13"/>
  <c r="CH7" i="13"/>
  <c r="CH16" i="13"/>
  <c r="CH23" i="13"/>
  <c r="CH20" i="13"/>
  <c r="CA3" i="13"/>
  <c r="CE3" i="13"/>
  <c r="CB3" i="13"/>
  <c r="CD3" i="13"/>
  <c r="AI17" i="3"/>
  <c r="AI5" i="3" s="1"/>
  <c r="AH5" i="3"/>
  <c r="AK17" i="3"/>
  <c r="AK5" i="3" s="1"/>
  <c r="AJ5" i="3"/>
  <c r="AF5" i="3"/>
  <c r="AG17" i="3"/>
  <c r="AG5" i="3" s="1"/>
  <c r="AD5" i="3"/>
  <c r="AE17" i="3"/>
  <c r="AE5" i="3" s="1"/>
  <c r="AY26" i="3"/>
  <c r="AY20" i="3"/>
  <c r="AY8" i="3"/>
  <c r="AY17" i="3"/>
  <c r="AY29" i="3"/>
  <c r="AY10" i="3"/>
  <c r="AY7" i="3"/>
  <c r="AY13" i="3"/>
  <c r="AY22" i="3"/>
  <c r="AY16" i="3"/>
  <c r="AY9" i="3"/>
  <c r="AY28" i="3"/>
  <c r="AY14" i="3"/>
  <c r="AY27" i="3"/>
  <c r="AY11" i="3"/>
  <c r="E29" i="10"/>
  <c r="AU1" i="13" s="1"/>
  <c r="F16" i="10"/>
  <c r="AU5" i="13" l="1"/>
  <c r="E30" i="10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F29" i="10" s="1"/>
  <c r="AU22" i="13" l="1"/>
  <c r="AU12" i="13"/>
  <c r="AU24" i="13"/>
  <c r="AU19" i="13"/>
  <c r="AU15" i="13"/>
  <c r="AU10" i="13"/>
  <c r="AU8" i="13"/>
  <c r="AU20" i="13"/>
  <c r="AU9" i="13"/>
  <c r="AU16" i="13"/>
  <c r="AU27" i="13"/>
  <c r="AU13" i="13"/>
  <c r="AU21" i="13"/>
  <c r="AU14" i="13"/>
  <c r="AU17" i="13"/>
  <c r="AU25" i="13"/>
  <c r="AU23" i="13"/>
  <c r="AU6" i="13"/>
  <c r="AU18" i="13"/>
  <c r="AU7" i="13"/>
  <c r="AU26" i="13"/>
  <c r="AU11" i="13"/>
  <c r="BE27" i="13" l="1"/>
  <c r="BF27" i="13" s="1"/>
  <c r="AZ27" i="13"/>
  <c r="BA27" i="13" s="1"/>
  <c r="AV27" i="13"/>
  <c r="AV11" i="13"/>
  <c r="BE11" i="13"/>
  <c r="BF11" i="13" s="1"/>
  <c r="AZ11" i="13"/>
  <c r="BA11" i="13" s="1"/>
  <c r="AZ8" i="13"/>
  <c r="BA8" i="13" s="1"/>
  <c r="AV8" i="13"/>
  <c r="BE8" i="13"/>
  <c r="BF8" i="13" s="1"/>
  <c r="AV7" i="13"/>
  <c r="AZ7" i="13"/>
  <c r="BA7" i="13" s="1"/>
  <c r="BE7" i="13"/>
  <c r="BF7" i="13" s="1"/>
  <c r="AZ19" i="13"/>
  <c r="BA19" i="13" s="1"/>
  <c r="BE19" i="13"/>
  <c r="BF19" i="13" s="1"/>
  <c r="AV19" i="13"/>
  <c r="BE13" i="13"/>
  <c r="BF13" i="13" s="1"/>
  <c r="AZ13" i="13"/>
  <c r="BA13" i="13" s="1"/>
  <c r="AV13" i="13"/>
  <c r="AZ16" i="13"/>
  <c r="BA16" i="13" s="1"/>
  <c r="AV16" i="13"/>
  <c r="BE16" i="13"/>
  <c r="BF16" i="13" s="1"/>
  <c r="BE10" i="13"/>
  <c r="BF10" i="13" s="1"/>
  <c r="AV10" i="13"/>
  <c r="AZ10" i="13"/>
  <c r="BA10" i="13" s="1"/>
  <c r="BE18" i="13"/>
  <c r="BF18" i="13" s="1"/>
  <c r="AZ18" i="13"/>
  <c r="BA18" i="13" s="1"/>
  <c r="AV18" i="13"/>
  <c r="AV12" i="13"/>
  <c r="AZ12" i="13"/>
  <c r="BA12" i="13" s="1"/>
  <c r="BE12" i="13"/>
  <c r="BF12" i="13" s="1"/>
  <c r="BE21" i="13"/>
  <c r="BF21" i="13" s="1"/>
  <c r="AZ21" i="13"/>
  <c r="BA21" i="13" s="1"/>
  <c r="AV21" i="13"/>
  <c r="AZ9" i="13"/>
  <c r="BA9" i="13" s="1"/>
  <c r="BE9" i="13"/>
  <c r="BF9" i="13" s="1"/>
  <c r="AV9" i="13"/>
  <c r="AV20" i="13"/>
  <c r="BE20" i="13"/>
  <c r="BF20" i="13" s="1"/>
  <c r="AZ20" i="13"/>
  <c r="BA20" i="13" s="1"/>
  <c r="AV26" i="13"/>
  <c r="BE26" i="13"/>
  <c r="BF26" i="13" s="1"/>
  <c r="AZ26" i="13"/>
  <c r="BA26" i="13" s="1"/>
  <c r="BE15" i="13"/>
  <c r="BF15" i="13" s="1"/>
  <c r="AV15" i="13"/>
  <c r="AZ15" i="13"/>
  <c r="BA15" i="13" s="1"/>
  <c r="AZ6" i="13"/>
  <c r="BA6" i="13" s="1"/>
  <c r="BE6" i="13"/>
  <c r="BF6" i="13" s="1"/>
  <c r="AV6" i="13"/>
  <c r="AZ23" i="13"/>
  <c r="BA23" i="13" s="1"/>
  <c r="BE23" i="13"/>
  <c r="BF23" i="13" s="1"/>
  <c r="AV23" i="13"/>
  <c r="AV5" i="13"/>
  <c r="AZ5" i="13"/>
  <c r="BE5" i="13"/>
  <c r="AU2" i="13"/>
  <c r="AV2" i="13" s="1"/>
  <c r="BE25" i="13"/>
  <c r="BF25" i="13" s="1"/>
  <c r="AV25" i="13"/>
  <c r="AZ25" i="13"/>
  <c r="BA25" i="13" s="1"/>
  <c r="BE24" i="13"/>
  <c r="BF24" i="13" s="1"/>
  <c r="AV24" i="13"/>
  <c r="AZ24" i="13"/>
  <c r="BA24" i="13" s="1"/>
  <c r="AZ17" i="13"/>
  <c r="BA17" i="13" s="1"/>
  <c r="AV17" i="13"/>
  <c r="BE17" i="13"/>
  <c r="BF17" i="13" s="1"/>
  <c r="BE14" i="13"/>
  <c r="BF14" i="13" s="1"/>
  <c r="AV14" i="13"/>
  <c r="AZ14" i="13"/>
  <c r="BA14" i="13" s="1"/>
  <c r="BE22" i="13"/>
  <c r="BF22" i="13" s="1"/>
  <c r="AZ22" i="13"/>
  <c r="BA22" i="13" s="1"/>
  <c r="AV22" i="13"/>
  <c r="AW23" i="13" l="1"/>
  <c r="AX23" i="13" s="1"/>
  <c r="AW8" i="13"/>
  <c r="AX8" i="13" s="1"/>
  <c r="AW11" i="13"/>
  <c r="AX11" i="13" s="1"/>
  <c r="AW27" i="13"/>
  <c r="AX27" i="13" s="1"/>
  <c r="AW22" i="13"/>
  <c r="AX22" i="13" s="1"/>
  <c r="AW19" i="13"/>
  <c r="AX19" i="13" s="1"/>
  <c r="AW6" i="13"/>
  <c r="AX6" i="13" s="1"/>
  <c r="AW9" i="13"/>
  <c r="AX9" i="13" s="1"/>
  <c r="AW18" i="13"/>
  <c r="AX18" i="13" s="1"/>
  <c r="AW24" i="13"/>
  <c r="AX24" i="13" s="1"/>
  <c r="AW15" i="13"/>
  <c r="AX15" i="13" s="1"/>
  <c r="AW25" i="13"/>
  <c r="AX25" i="13" s="1"/>
  <c r="AW5" i="13"/>
  <c r="AX5" i="13" s="1"/>
  <c r="AW12" i="13"/>
  <c r="AX12" i="13" s="1"/>
  <c r="AW16" i="13"/>
  <c r="AX16" i="13" s="1"/>
  <c r="AW7" i="13"/>
  <c r="AX7" i="13" s="1"/>
  <c r="AW14" i="13"/>
  <c r="AX14" i="13" s="1"/>
  <c r="AW10" i="13"/>
  <c r="AX10" i="13" s="1"/>
  <c r="AW20" i="13"/>
  <c r="AX20" i="13" s="1"/>
  <c r="AW17" i="13"/>
  <c r="AX17" i="13" s="1"/>
  <c r="AW26" i="13"/>
  <c r="AX26" i="13" s="1"/>
  <c r="BE2" i="13"/>
  <c r="BG8" i="13" s="1"/>
  <c r="BH8" i="13" s="1"/>
  <c r="BF5" i="13"/>
  <c r="AW13" i="13"/>
  <c r="AX13" i="13" s="1"/>
  <c r="BA5" i="13"/>
  <c r="AZ2" i="13"/>
  <c r="BB7" i="13" s="1"/>
  <c r="BC7" i="13" s="1"/>
  <c r="AW21" i="13"/>
  <c r="AX21" i="13" s="1"/>
  <c r="BG9" i="13" l="1"/>
  <c r="BH9" i="13" s="1"/>
  <c r="BG20" i="13"/>
  <c r="BH20" i="13" s="1"/>
  <c r="BG10" i="13"/>
  <c r="BH10" i="13" s="1"/>
  <c r="BG5" i="13"/>
  <c r="BH5" i="13" s="1"/>
  <c r="BG16" i="13"/>
  <c r="BH16" i="13" s="1"/>
  <c r="BG15" i="13"/>
  <c r="BH15" i="13" s="1"/>
  <c r="BG6" i="13"/>
  <c r="BH6" i="13" s="1"/>
  <c r="BB17" i="13"/>
  <c r="BC17" i="13" s="1"/>
  <c r="BG18" i="13"/>
  <c r="BH18" i="13" s="1"/>
  <c r="BB27" i="13"/>
  <c r="BC27" i="13" s="1"/>
  <c r="BA2" i="13"/>
  <c r="BB25" i="13"/>
  <c r="BC25" i="13" s="1"/>
  <c r="BB26" i="13"/>
  <c r="BC26" i="13" s="1"/>
  <c r="BB13" i="13"/>
  <c r="BC13" i="13" s="1"/>
  <c r="BB19" i="13"/>
  <c r="BC19" i="13" s="1"/>
  <c r="BB12" i="13"/>
  <c r="BC12" i="13" s="1"/>
  <c r="BB2" i="13"/>
  <c r="BB16" i="13"/>
  <c r="BC16" i="13" s="1"/>
  <c r="BB5" i="13"/>
  <c r="BC5" i="13" s="1"/>
  <c r="BB15" i="13"/>
  <c r="BC15" i="13" s="1"/>
  <c r="BB21" i="13"/>
  <c r="BC21" i="13" s="1"/>
  <c r="BB18" i="13"/>
  <c r="BC18" i="13" s="1"/>
  <c r="BB14" i="13"/>
  <c r="BC14" i="13" s="1"/>
  <c r="BB24" i="13"/>
  <c r="BC24" i="13" s="1"/>
  <c r="BB8" i="13"/>
  <c r="BC8" i="13" s="1"/>
  <c r="BB23" i="13"/>
  <c r="BC23" i="13" s="1"/>
  <c r="BB22" i="13"/>
  <c r="BC22" i="13" s="1"/>
  <c r="BB11" i="13"/>
  <c r="BC11" i="13" s="1"/>
  <c r="BB9" i="13"/>
  <c r="BC9" i="13" s="1"/>
  <c r="BB10" i="13"/>
  <c r="BC10" i="13" s="1"/>
  <c r="BB6" i="13"/>
  <c r="BC6" i="13" s="1"/>
  <c r="BG24" i="13"/>
  <c r="BH24" i="13" s="1"/>
  <c r="BG2" i="13"/>
  <c r="BG25" i="13"/>
  <c r="BH25" i="13" s="1"/>
  <c r="BG21" i="13"/>
  <c r="BH21" i="13" s="1"/>
  <c r="BG11" i="13"/>
  <c r="BH11" i="13" s="1"/>
  <c r="BG27" i="13"/>
  <c r="BH27" i="13" s="1"/>
  <c r="BG7" i="13"/>
  <c r="BH7" i="13" s="1"/>
  <c r="BG23" i="13"/>
  <c r="BH23" i="13" s="1"/>
  <c r="BG13" i="13"/>
  <c r="BH13" i="13" s="1"/>
  <c r="BG26" i="13"/>
  <c r="BH26" i="13" s="1"/>
  <c r="BG14" i="13"/>
  <c r="BH14" i="13" s="1"/>
  <c r="BF2" i="13"/>
  <c r="BG19" i="13"/>
  <c r="BH19" i="13" s="1"/>
  <c r="BG22" i="13"/>
  <c r="BH22" i="13" s="1"/>
  <c r="BG12" i="13"/>
  <c r="BH12" i="13" s="1"/>
  <c r="BG17" i="13"/>
  <c r="BH17" i="13" s="1"/>
  <c r="BB20" i="13"/>
  <c r="BC20" i="13" s="1"/>
  <c r="BH2" i="13" l="1"/>
  <c r="BC2" i="13"/>
</calcChain>
</file>

<file path=xl/sharedStrings.xml><?xml version="1.0" encoding="utf-8"?>
<sst xmlns="http://schemas.openxmlformats.org/spreadsheetml/2006/main" count="625" uniqueCount="348">
  <si>
    <t>The Gross-to-Net Planning approach - Wholesale</t>
  </si>
  <si>
    <t>The Sales planning function uses a building block approach to forecasting final net sales</t>
  </si>
  <si>
    <t>OrderType</t>
  </si>
  <si>
    <t>Definition</t>
  </si>
  <si>
    <t>Pre-Orders</t>
  </si>
  <si>
    <t>The Orders on books taken approx. 6 months before the season begins</t>
  </si>
  <si>
    <t>Cancellations</t>
  </si>
  <si>
    <t>The Pre-Orders that cannot be fulfilled or customers are permitted to cancel before delivery</t>
  </si>
  <si>
    <t>Re-Orders</t>
  </si>
  <si>
    <t>Additional In-Season orders placed by customers fufilled from available free stock in warehouse</t>
  </si>
  <si>
    <t>Stock Clearance</t>
  </si>
  <si>
    <t>Any old season stock the business is willing to sell to a customer</t>
  </si>
  <si>
    <t>Returns</t>
  </si>
  <si>
    <t>Any stock the business agreees to take back to the warehouse from a customer</t>
  </si>
  <si>
    <t>Actual Net Sales =</t>
  </si>
  <si>
    <t>KPI</t>
  </si>
  <si>
    <t>Cancellation % Mix</t>
  </si>
  <si>
    <t>The proportion of the total pre-orderbook that was cancelled for a given time period</t>
  </si>
  <si>
    <t>% Rate</t>
  </si>
  <si>
    <t>Re-Order, Stock Clearance or Return volume vs Total Invoiced Pre-Orders for a given time period</t>
  </si>
  <si>
    <t>SS25 Budget</t>
  </si>
  <si>
    <t>Q1 - Actuals - Shoes</t>
  </si>
  <si>
    <t>Q1 - Actuals - Apparel</t>
  </si>
  <si>
    <t>Q2 Shoes</t>
  </si>
  <si>
    <t>Q2 Apparel</t>
  </si>
  <si>
    <t>Units</t>
  </si>
  <si>
    <t>Sub Region</t>
  </si>
  <si>
    <t>Market</t>
  </si>
  <si>
    <t>Account</t>
  </si>
  <si>
    <t>Central</t>
  </si>
  <si>
    <t>Germany</t>
  </si>
  <si>
    <t>Field Accounts</t>
  </si>
  <si>
    <t>Switzerland</t>
  </si>
  <si>
    <t>Austria</t>
  </si>
  <si>
    <t>North</t>
  </si>
  <si>
    <t>BeNeLux</t>
  </si>
  <si>
    <t>Vanguard Wilds</t>
  </si>
  <si>
    <t>France</t>
  </si>
  <si>
    <t>Swift-Pulse</t>
  </si>
  <si>
    <t>Velocity Labs</t>
  </si>
  <si>
    <t>United Kingdom</t>
  </si>
  <si>
    <t>Velvet &amp; Vice</t>
  </si>
  <si>
    <t>Titan Sport</t>
  </si>
  <si>
    <t>Nordics</t>
  </si>
  <si>
    <t>Nordic Nord</t>
  </si>
  <si>
    <t>Omni-Arena</t>
  </si>
  <si>
    <t>South</t>
  </si>
  <si>
    <t>Spain</t>
  </si>
  <si>
    <t>Agora Athletics</t>
  </si>
  <si>
    <t>Italy</t>
  </si>
  <si>
    <t>Europe</t>
  </si>
  <si>
    <t>Axiom Street</t>
  </si>
  <si>
    <t>Vault</t>
  </si>
  <si>
    <t>Strike-Point</t>
  </si>
  <si>
    <t>Scale</t>
  </si>
  <si>
    <t>SS24 Q2  Net Sales, Cancellation Mix % and Rates %</t>
  </si>
  <si>
    <t>LY Q2 Shoes</t>
  </si>
  <si>
    <t>LY Q2 Apparel</t>
  </si>
  <si>
    <t>Net Sales Invoiced</t>
  </si>
  <si>
    <t>Pre-Order Cancellations  Mix %</t>
  </si>
  <si>
    <t>Re-Order Rate %</t>
  </si>
  <si>
    <t>Stock Clearance Rate %</t>
  </si>
  <si>
    <t>Returns Rate %</t>
  </si>
  <si>
    <t>Available SS25 Q2 Stock in Warehouse</t>
  </si>
  <si>
    <t>WAREHOUSE STOCK</t>
  </si>
  <si>
    <t>Shoes</t>
  </si>
  <si>
    <t>Apparel</t>
  </si>
  <si>
    <t>Current season</t>
  </si>
  <si>
    <t>Old Season</t>
  </si>
  <si>
    <t>Current  Season</t>
  </si>
  <si>
    <t>Key Account Descriptions</t>
  </si>
  <si>
    <t>Name</t>
  </si>
  <si>
    <t>Product Vertical</t>
  </si>
  <si>
    <t>Description</t>
  </si>
  <si>
    <t xml:space="preserve">Hanover &amp; Hearth </t>
  </si>
  <si>
    <t>Lifestyle / Sport</t>
  </si>
  <si>
    <t>Precise, premium department store</t>
  </si>
  <si>
    <t>Sport</t>
  </si>
  <si>
    <t>Tech-wear for the Great Outdoors</t>
  </si>
  <si>
    <t>Lifestyle</t>
  </si>
  <si>
    <t>Experimental street-culture labs</t>
  </si>
  <si>
    <t>Biometric-focused sprinting gear</t>
  </si>
  <si>
    <t>Elite luxury</t>
  </si>
  <si>
    <t xml:space="preserve">Mass-market muscle </t>
  </si>
  <si>
    <t>Urban-armor optimized for the crumbling wild</t>
  </si>
  <si>
    <t>Massive multi-sport hubs</t>
  </si>
  <si>
    <t>Aurelian &amp; Co.</t>
  </si>
  <si>
    <t>Prestigious, multi-level luxury spire</t>
  </si>
  <si>
    <t>Digital-first performance gear</t>
  </si>
  <si>
    <t>Endless digital fashion scroll</t>
  </si>
  <si>
    <t>Staple sneaker archives</t>
  </si>
  <si>
    <t>Pinicle sporting aesthetics</t>
  </si>
  <si>
    <t>The "King of Tiers" in sports lifestyle</t>
  </si>
  <si>
    <t xml:space="preserve">Analysis </t>
  </si>
  <si>
    <t>Summary</t>
  </si>
  <si>
    <t>Tab Coloring Legend</t>
  </si>
  <si>
    <t>Biz Case Inputs</t>
  </si>
  <si>
    <t>Control Panel</t>
  </si>
  <si>
    <t>Fase</t>
  </si>
  <si>
    <t>Launch</t>
  </si>
  <si>
    <t>WK1–4</t>
  </si>
  <si>
    <t>First deliveries, floor set</t>
  </si>
  <si>
    <t>Build</t>
  </si>
  <si>
    <t>Peak sell-in, replenishment start</t>
  </si>
  <si>
    <t>Peak</t>
  </si>
  <si>
    <t>WK10–18</t>
  </si>
  <si>
    <t>Markdown Risk</t>
  </si>
  <si>
    <t>Inventory correction</t>
  </si>
  <si>
    <t>Exit</t>
  </si>
  <si>
    <t>WK22–26</t>
  </si>
  <si>
    <t>Clearance / transition FW</t>
  </si>
  <si>
    <t>Period</t>
  </si>
  <si>
    <t>What's appening</t>
  </si>
  <si>
    <t>Hypotesis</t>
  </si>
  <si>
    <t>we are in WK</t>
  </si>
  <si>
    <t>scroll to choose the week</t>
  </si>
  <si>
    <t>Max sell-out velocity</t>
  </si>
  <si>
    <t>Row Labels</t>
  </si>
  <si>
    <t>Grand Total</t>
  </si>
  <si>
    <t>Exp ASP</t>
  </si>
  <si>
    <t>Pre-Orders Invoiced (units)</t>
  </si>
  <si>
    <t>Cancellations (units)</t>
  </si>
  <si>
    <t>Re-Orders Invoiced (units)</t>
  </si>
  <si>
    <t>Stock Clearance Invoiced (units)</t>
  </si>
  <si>
    <t>Returns Processed (units)</t>
  </si>
  <si>
    <t>Orderbook (units)</t>
  </si>
  <si>
    <t>Net Sales (€)</t>
  </si>
  <si>
    <t>Value (€)</t>
  </si>
  <si>
    <t>LY Q2 Shoes (units)</t>
  </si>
  <si>
    <t>LY Q2 Apparel (units)</t>
  </si>
  <si>
    <t>1) EMEA Spring/Summer Lenghtin Weeks = 26 weeks</t>
  </si>
  <si>
    <t>modify in case of different lenght</t>
  </si>
  <si>
    <t>WK</t>
  </si>
  <si>
    <t>Exp SellOut</t>
  </si>
  <si>
    <t>WK5–10</t>
  </si>
  <si>
    <t>WK19–22</t>
  </si>
  <si>
    <t xml:space="preserve">2) Hypotetical Sell-out Distribution x week - Seasonality </t>
  </si>
  <si>
    <t>Fase %</t>
  </si>
  <si>
    <t>Sell-out % x week</t>
  </si>
  <si>
    <t xml:space="preserve">Cumulated </t>
  </si>
  <si>
    <t>Weighted ASP</t>
  </si>
  <si>
    <t>Total</t>
  </si>
  <si>
    <t>vs Phased Plan</t>
  </si>
  <si>
    <t>SS25 Phased Budget</t>
  </si>
  <si>
    <t>Apparel vs Shoes Sell/Out</t>
  </si>
  <si>
    <t>Initial Data</t>
  </si>
  <si>
    <r>
      <rPr>
        <sz val="10"/>
        <color rgb="FF34A853"/>
        <rFont val="Helvetica Neue"/>
      </rPr>
      <t xml:space="preserve">Pre-Orders on Book </t>
    </r>
    <r>
      <rPr>
        <sz val="10"/>
        <color rgb="FFEA4335"/>
        <rFont val="Helvetica Neue"/>
      </rPr>
      <t>- Forecast Cancellation</t>
    </r>
    <r>
      <rPr>
        <sz val="10"/>
        <color theme="1"/>
        <rFont val="Helvetica Neue"/>
      </rPr>
      <t xml:space="preserve"> </t>
    </r>
    <r>
      <rPr>
        <sz val="10"/>
        <color rgb="FF34A853"/>
        <rFont val="Helvetica Neue"/>
      </rPr>
      <t>+  Forecast Re-Order +  Forecast Stock Clearance</t>
    </r>
    <r>
      <rPr>
        <sz val="10"/>
        <color theme="1"/>
        <rFont val="Helvetica Neue"/>
      </rPr>
      <t xml:space="preserve"> </t>
    </r>
    <r>
      <rPr>
        <sz val="10"/>
        <color rgb="FFEA4335"/>
        <rFont val="Helvetica Neue"/>
      </rPr>
      <t>- Forecast Returns</t>
    </r>
  </si>
  <si>
    <r>
      <rPr>
        <sz val="10"/>
        <color rgb="FF34A853"/>
        <rFont val="Helvetica Neue"/>
      </rPr>
      <t xml:space="preserve">Pre-Orders Invoiced + Re-Orders Invoiced + Stock Clearance Invoiced </t>
    </r>
    <r>
      <rPr>
        <sz val="10"/>
        <color rgb="FFEA4335"/>
        <rFont val="Helvetica Neue"/>
      </rPr>
      <t>- Returns Processed</t>
    </r>
  </si>
  <si>
    <t>STD Actuals SS25</t>
  </si>
  <si>
    <t>Exp Phased Q1 Shoes</t>
  </si>
  <si>
    <t>Exp Phased Q1 Apparel</t>
  </si>
  <si>
    <t xml:space="preserve">Actual vs Phased Splitted by Category </t>
  </si>
  <si>
    <t>CtC</t>
  </si>
  <si>
    <t>CTC (bps)</t>
  </si>
  <si>
    <t>Net Sales (€)2</t>
  </si>
  <si>
    <t>Pre-Orders Invoiced (units)3</t>
  </si>
  <si>
    <t>Cancellations (units)4</t>
  </si>
  <si>
    <t>Re-Orders Invoiced (units)5</t>
  </si>
  <si>
    <t>Stock Clearance Invoiced (units)6</t>
  </si>
  <si>
    <t>Returns Processed (units)7</t>
  </si>
  <si>
    <t>Orderbook (units)8</t>
  </si>
  <si>
    <t>vs Phased Plan15</t>
  </si>
  <si>
    <t>CtC16</t>
  </si>
  <si>
    <t>CtC (bps)17</t>
  </si>
  <si>
    <t>Column18</t>
  </si>
  <si>
    <t>vs Phased Plan19</t>
  </si>
  <si>
    <t>CtC20</t>
  </si>
  <si>
    <t>CtC (bps)21</t>
  </si>
  <si>
    <t>Column1</t>
  </si>
  <si>
    <t>Column2</t>
  </si>
  <si>
    <t>Sum of CTC (bps)</t>
  </si>
  <si>
    <t>Column3</t>
  </si>
  <si>
    <t>Client Vertical</t>
  </si>
  <si>
    <t>Generalist</t>
  </si>
  <si>
    <t>Category</t>
  </si>
  <si>
    <t>Current Season</t>
  </si>
  <si>
    <t>Q2 Orderbook</t>
  </si>
  <si>
    <t>Coverage Ratio</t>
  </si>
  <si>
    <t>Stock Assesment</t>
  </si>
  <si>
    <t>Current Shoe stock vs Q2 OB:</t>
  </si>
  <si>
    <t>Current Apparel stock vs Q2 OB:</t>
  </si>
  <si>
    <t>surplus units available for re-orders</t>
  </si>
  <si>
    <t>Pre-Orders Booked LYQ2 (apparel)</t>
  </si>
  <si>
    <t>Pre-Orders Booked LYQ2 (shoes)</t>
  </si>
  <si>
    <t>I've reverted the formulat to extract the Old PreOrder booked value</t>
  </si>
  <si>
    <t>Re-Order Rate %4</t>
  </si>
  <si>
    <t>Stock Clearance Rate %5</t>
  </si>
  <si>
    <t>Returns Rate %6</t>
  </si>
  <si>
    <t>Re-Order Rate %7</t>
  </si>
  <si>
    <t>Stock Clearance Rate %8</t>
  </si>
  <si>
    <t>Returns Rate %9</t>
  </si>
  <si>
    <t>Re-Order Rate %11</t>
  </si>
  <si>
    <t>Stock Clearance Rate %12</t>
  </si>
  <si>
    <t>Returns Rate %13</t>
  </si>
  <si>
    <t>Quarter</t>
  </si>
  <si>
    <t>Q1</t>
  </si>
  <si>
    <t>Q2</t>
  </si>
  <si>
    <t>3) Apparel/Shoes Split</t>
  </si>
  <si>
    <t>IF</t>
  </si>
  <si>
    <t>Then</t>
  </si>
  <si>
    <t>Pre-Orders Invoiced =</t>
  </si>
  <si>
    <r>
      <rPr>
        <sz val="10"/>
        <color rgb="FF34A853"/>
        <rFont val="Helvetica Neue"/>
      </rPr>
      <t xml:space="preserve">Net Sales Invoiced / ( 1 + Re-Orders % + Stock Clearance % </t>
    </r>
    <r>
      <rPr>
        <sz val="10"/>
        <color rgb="FFEA4335"/>
        <rFont val="Helvetica Neue"/>
      </rPr>
      <t>- Returns %)</t>
    </r>
  </si>
  <si>
    <t>3) Revertig "Actual Net Sales" formula to Extract "Pre-Order Invoiced"</t>
  </si>
  <si>
    <t>LY Q2 Total (Shoes+Apparel)</t>
  </si>
  <si>
    <t>Returns Rate %7</t>
  </si>
  <si>
    <t>Tot Net Sales Invoiced (units)</t>
  </si>
  <si>
    <t>Tot PreOrder  Invoiced (units)</t>
  </si>
  <si>
    <t>Tot Cancellation</t>
  </si>
  <si>
    <t>Cancellation %</t>
  </si>
  <si>
    <t>Pre-Order Cancellations  Mix %2</t>
  </si>
  <si>
    <t>ToT Reorders</t>
  </si>
  <si>
    <t>Reorder %</t>
  </si>
  <si>
    <t>Totals</t>
  </si>
  <si>
    <t>Weighted % avg</t>
  </si>
  <si>
    <t>ToT Stock Clearance</t>
  </si>
  <si>
    <t>Tot Stock Clearance %</t>
  </si>
  <si>
    <t>ToT Retruns</t>
  </si>
  <si>
    <t>Tot Returns %</t>
  </si>
  <si>
    <t>Net Sales FC (forecast) =</t>
  </si>
  <si>
    <t>GNT Q1 Actuals</t>
  </si>
  <si>
    <t>Actual ASP (shoes)</t>
  </si>
  <si>
    <t>Actual ASP (Apparel)</t>
  </si>
  <si>
    <t>Actual Net Sales(units) Shoes</t>
  </si>
  <si>
    <t>Actual Net Sales(units)Apparel</t>
  </si>
  <si>
    <t>Sum of ToT Retruns</t>
  </si>
  <si>
    <t>Sum of ToT Reorders</t>
  </si>
  <si>
    <t>Sum of Tot Cancellation</t>
  </si>
  <si>
    <t>Sum of ToT Stock Clearance</t>
  </si>
  <si>
    <t>Net Sales Invoiced Shoes</t>
  </si>
  <si>
    <t>Net Sales Invoiced Apparel</t>
  </si>
  <si>
    <t>Pre-Order Cancellations Mix Shoes</t>
  </si>
  <si>
    <t>Pre-Order Cancellations  Mix %Apparel</t>
  </si>
  <si>
    <t>Sum of Net Sales Invoiced Shoes</t>
  </si>
  <si>
    <t>Sum of Net Sales Invoiced Apparel</t>
  </si>
  <si>
    <t>Average of Apparel vs Shoes Sell/Out</t>
  </si>
  <si>
    <t>Sum of Tot Net Sales Invoiced (units)</t>
  </si>
  <si>
    <t>FC Cancellation Mix %Shoes</t>
  </si>
  <si>
    <t>Stock Clearance%</t>
  </si>
  <si>
    <t>Returns%</t>
  </si>
  <si>
    <t>Cancellations %</t>
  </si>
  <si>
    <t>Re-Order Rate % FC</t>
  </si>
  <si>
    <t>Stock Clearance Rate %2</t>
  </si>
  <si>
    <t>Returns Rate %2</t>
  </si>
  <si>
    <t>LY Growth Apparel</t>
  </si>
  <si>
    <t>NA</t>
  </si>
  <si>
    <t>Exp YoY Shoes</t>
  </si>
  <si>
    <t>Exp YoY Apparel</t>
  </si>
  <si>
    <t>LY Growth Shoes</t>
  </si>
  <si>
    <t>external sources</t>
  </si>
  <si>
    <t>Exp Apparel PreOrder Growth Rate</t>
  </si>
  <si>
    <t>Exp Shoes PreOrder Growth Rate</t>
  </si>
  <si>
    <t xml:space="preserve">Actual Order Book Shoes </t>
  </si>
  <si>
    <t xml:space="preserve">Actual Order Book Apparel </t>
  </si>
  <si>
    <t>Deviation from Tommaso's suggestion Shoes</t>
  </si>
  <si>
    <t>Deviation from Tommaso's suggestion Apparel</t>
  </si>
  <si>
    <t>YoY on Net Sales Shoes</t>
  </si>
  <si>
    <t>YoY on Net Sales Apparel</t>
  </si>
  <si>
    <t>Client Tier</t>
  </si>
  <si>
    <t>Core</t>
  </si>
  <si>
    <t>Growth</t>
  </si>
  <si>
    <t>Opportunity</t>
  </si>
  <si>
    <t>Monitor</t>
  </si>
  <si>
    <t>Tommaso's FC Q2 SS5 Net Sales FC Shoes</t>
  </si>
  <si>
    <t>Tommaso's FC Q2 SS5 Net Sales FC Apparel</t>
  </si>
  <si>
    <t>Text in blue is my hypotesis if conditions are met, conditions in the document</t>
  </si>
  <si>
    <t>Weighted Averages</t>
  </si>
  <si>
    <t>Return in Apparel Naturally Higher due to high SKUs, helthy below 6%</t>
  </si>
  <si>
    <t>Clearance in Apparel still low due being new products in the market, monitor</t>
  </si>
  <si>
    <t xml:space="preserve">Investigate high Cancellation, specifically in Apparel Category </t>
  </si>
  <si>
    <t>Push for lowering in season re-order to 10% to have a leaner warehouse</t>
  </si>
  <si>
    <t>SS25 - Targets</t>
  </si>
  <si>
    <t>I will assume an approx 10% Cancellation % for Field accounts</t>
  </si>
  <si>
    <t>I will assume an approx 3% Cancellation % for Core Tier 1 Clients (Stable and reliable)</t>
  </si>
  <si>
    <t xml:space="preserve">I will assume 10% ReOrder on Core Stable Clients, a 15% for all the rest, while leaving a buffer up to 30% for Opportunity fast growing accounts </t>
  </si>
  <si>
    <t>I will assume that Titan Sport Cancellation issue to be fixed in the yaer +1 and vault to have introduced apparel</t>
  </si>
  <si>
    <t>Can%</t>
  </si>
  <si>
    <t>ReOrder %</t>
  </si>
  <si>
    <t>Stock Clearance %</t>
  </si>
  <si>
    <t>Retunrs % Units</t>
  </si>
  <si>
    <t>Re-Orders Invoiced (units)6</t>
  </si>
  <si>
    <t>Stock Clearance Invoiced (units)7</t>
  </si>
  <si>
    <t>Returns Processed (units)8</t>
  </si>
  <si>
    <t>Can%2</t>
  </si>
  <si>
    <t>App/Shoes Split</t>
  </si>
  <si>
    <t>Shoe</t>
  </si>
  <si>
    <t>Net Sales Units</t>
  </si>
  <si>
    <t>Actual ASP Shoes per channel</t>
  </si>
  <si>
    <t>Net Sales (Units0</t>
  </si>
  <si>
    <t xml:space="preserve">Weighted ASP (Shoes) </t>
  </si>
  <si>
    <t xml:space="preserve">Weighted ASP (Apparel) </t>
  </si>
  <si>
    <t>Clearance ASP</t>
  </si>
  <si>
    <t>We are here</t>
  </si>
  <si>
    <t>ST% Shoes</t>
  </si>
  <si>
    <t>ST% Apparel</t>
  </si>
  <si>
    <t>ST% ToTal</t>
  </si>
  <si>
    <t>I will assume that the Apparel/Shoes sales split to be 8.22% as LY Q2 (calculation in "SS24 Q2 Data")</t>
  </si>
  <si>
    <t>Shoe Budget Units</t>
  </si>
  <si>
    <t>Apparel Budget Units</t>
  </si>
  <si>
    <t>Net Sales Units total</t>
  </si>
  <si>
    <t>Actual ASP Apparel per channel</t>
  </si>
  <si>
    <t>Q1 Actuals</t>
  </si>
  <si>
    <t>CtC (bps)22</t>
  </si>
  <si>
    <t>In which week we will finish stock at this rate?</t>
  </si>
  <si>
    <t>Reasoning example: Proportion used below</t>
  </si>
  <si>
    <t>x</t>
  </si>
  <si>
    <t>Expected WoOS Shoes</t>
  </si>
  <si>
    <t>Expected WoOS Apparel</t>
  </si>
  <si>
    <t>Expected WoOS Total</t>
  </si>
  <si>
    <t>WOC Apparel</t>
  </si>
  <si>
    <t>WOC Total</t>
  </si>
  <si>
    <t>WOS at WK26 Shoes</t>
  </si>
  <si>
    <t>WOS at WK26 Apparel</t>
  </si>
  <si>
    <t>Overstock</t>
  </si>
  <si>
    <t>Stock Out Risk</t>
  </si>
  <si>
    <t>Risk Shoes</t>
  </si>
  <si>
    <t>Risk Apparel</t>
  </si>
  <si>
    <t>WOS Thresholds Buckets</t>
  </si>
  <si>
    <t>Lower Bound</t>
  </si>
  <si>
    <t>5) WOS Thresholds Control Panel</t>
  </si>
  <si>
    <t>Action</t>
  </si>
  <si>
    <t xml:space="preserve">5) SS25 Q2 PreOrdering Hypotesis </t>
  </si>
  <si>
    <t>Actuals Vs Phased Plan Top Contributors/Offenders</t>
  </si>
  <si>
    <t>Potential Clearence Revenuee:</t>
  </si>
  <si>
    <t xml:space="preserve">Potential Clearence Revenuee: </t>
  </si>
  <si>
    <t>No visibility on Model SKU.</t>
  </si>
  <si>
    <t xml:space="preserve">6) Current SS25 Q2 Warehouse Stock </t>
  </si>
  <si>
    <t>As there is not any indication of the SKU Stock, I will assume the allocation of stock as per SS25 Budget</t>
  </si>
  <si>
    <t>% Budget share</t>
  </si>
  <si>
    <t>Concat Support</t>
  </si>
  <si>
    <t xml:space="preserve">Shoes Available Q2 Stock Current Season </t>
  </si>
  <si>
    <t>Shoes Available Q2 Stock Old Season</t>
  </si>
  <si>
    <t>Apparel Q2 Available Stock Current Season 2</t>
  </si>
  <si>
    <t>Apparel Q2Available Stock Old Season3</t>
  </si>
  <si>
    <t>Avg Shoes Q1 Weekly Sales</t>
  </si>
  <si>
    <t>Avg Apparel Q1 Weekly Sales</t>
  </si>
  <si>
    <t>Q2 Shoes New Stock WOC based on Q1 Sales Velocity</t>
  </si>
  <si>
    <t>Q2 Shoes Old Stock WOC based on Q1 Sales Velocity</t>
  </si>
  <si>
    <t>Q2 Apparel New Stock WOC based on Q1 Sales Velocity</t>
  </si>
  <si>
    <t>Q2 Apparel Old Stock WOC based on Q1 Sales Velocity</t>
  </si>
  <si>
    <t>ToT Q2 WOC Shoes</t>
  </si>
  <si>
    <t>Tot Q2 WoC Apparel</t>
  </si>
  <si>
    <t>14 weeks</t>
  </si>
  <si>
    <t>WOCoverage Shoes</t>
  </si>
  <si>
    <t>Clearance Discount</t>
  </si>
  <si>
    <t>4) Stock Clearance Revenue at 20% of Wholesale ASP price</t>
  </si>
  <si>
    <t>Net Sales EUR)</t>
  </si>
  <si>
    <t>Avg Apparel Q1 Weekly Sales2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</si>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</sst>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[$€-2]\ * #,##0.00_);_([$€-2]\ * \(#,##0.00\);_([$€-2]\ * &quot;-&quot;??_);_(@_)"/>
    <numFmt numFmtId="165" formatCode="_([$€-2]\ * #,##0_);_([$€-2]\ * \(#,##0\);_([$€-2]\ * &quot;-&quot;??_);_(@_)"/>
    <numFmt numFmtId="166" formatCode="&quot;€&quot;#,##0.0,,&quot;MM&quot;;\-&quot;€&quot;#,##0.0,,&quot;MM&quot;;\-"/>
    <numFmt numFmtId="167" formatCode="&quot;€&quot;#0.0,&quot;K&quot;;\-&quot;€&quot;#0.0,&quot;K&quot;;\-"/>
    <numFmt numFmtId="168" formatCode="_(* #,##0_);_(* \(#,##0\);_(* &quot;-&quot;??_);_(@_)"/>
    <numFmt numFmtId="169" formatCode="0.0%"/>
    <numFmt numFmtId="170" formatCode="&quot;&quot;#,##0.0,,&quot;MM&quot;;\-&quot;&quot;#,##0.0,,&quot;MM&quot;;\-"/>
    <numFmt numFmtId="171" formatCode="\+#,##0&quot; bps&quot;;\-#,##0&quot; bps&quot;;0&quot; bps&quot;;@"/>
    <numFmt numFmtId="172" formatCode="0.0\x"/>
    <numFmt numFmtId="173" formatCode="_(* #,##0.000_);_(* \(#,##0.000\);_(* &quot;-&quot;??_);_(@_)"/>
    <numFmt numFmtId="174" formatCode="0E+00"/>
  </numFmts>
  <fonts count="50">
    <font>
      <sz val="10"/>
      <color rgb="FF000000"/>
      <name val="Arial"/>
      <scheme val="minor"/>
    </font>
    <font>
      <sz val="12"/>
      <color theme="1"/>
      <name val="Helvetica Neue"/>
    </font>
    <font>
      <b/>
      <sz val="14"/>
      <color theme="1"/>
      <name val="Helvetica Neue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i/>
      <sz val="12"/>
      <color rgb="FF999999"/>
      <name val="Helvetica Neue"/>
    </font>
    <font>
      <b/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Helvetica Neue"/>
    </font>
    <font>
      <i/>
      <sz val="10"/>
      <color rgb="FF999999"/>
      <name val="Helvetica Neue"/>
    </font>
    <font>
      <b/>
      <sz val="2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</font>
    <font>
      <b/>
      <sz val="10"/>
      <color theme="1"/>
      <name val="Helvetica Neue"/>
    </font>
    <font>
      <b/>
      <sz val="10"/>
      <color theme="0"/>
      <name val="Helvetica Neue"/>
    </font>
    <font>
      <sz val="10"/>
      <color theme="4"/>
      <name val="Arial"/>
      <family val="2"/>
      <scheme val="minor"/>
    </font>
    <font>
      <sz val="10"/>
      <color rgb="FF34A853"/>
      <name val="Helvetica Neue"/>
    </font>
    <font>
      <sz val="10"/>
      <color rgb="FFEA4335"/>
      <name val="Helvetica Neue"/>
    </font>
    <font>
      <sz val="10"/>
      <color theme="7"/>
      <name val="Helvetica Neue"/>
    </font>
    <font>
      <sz val="10"/>
      <color theme="0"/>
      <name val="Arial"/>
      <family val="2"/>
      <scheme val="minor"/>
    </font>
    <font>
      <sz val="10"/>
      <color rgb="FF0070C0"/>
      <name val="Arial"/>
      <family val="2"/>
    </font>
    <font>
      <sz val="10"/>
      <color theme="2"/>
      <name val="Arial"/>
      <family val="2"/>
      <scheme val="minor"/>
    </font>
    <font>
      <b/>
      <sz val="10"/>
      <color theme="2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10"/>
      <color rgb="FF008000"/>
      <name val="Arial"/>
      <family val="2"/>
    </font>
    <font>
      <b/>
      <sz val="10"/>
      <color rgb="FF333333"/>
      <name val="Arial"/>
      <family val="2"/>
    </font>
    <font>
      <b/>
      <sz val="10"/>
      <color rgb="FF27AE60"/>
      <name val="Arial"/>
      <family val="2"/>
    </font>
    <font>
      <b/>
      <sz val="10"/>
      <color rgb="FFF39C12"/>
      <name val="Arial"/>
      <family val="2"/>
    </font>
    <font>
      <sz val="8"/>
      <name val="Arial"/>
      <family val="2"/>
      <scheme val="minor"/>
    </font>
    <font>
      <b/>
      <u/>
      <sz val="10"/>
      <color theme="1"/>
      <name val="Helvetica Neue"/>
    </font>
    <font>
      <i/>
      <sz val="12"/>
      <color theme="2"/>
      <name val="Helvetica Neue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b/>
      <i/>
      <sz val="10"/>
      <color theme="2"/>
      <name val="Helvetica Neue"/>
    </font>
    <font>
      <sz val="10"/>
      <color theme="2"/>
      <name val="Helvetica Neue"/>
    </font>
    <font>
      <b/>
      <sz val="10"/>
      <color theme="2"/>
      <name val="Helvetica Neue"/>
    </font>
    <font>
      <b/>
      <sz val="8"/>
      <color theme="2"/>
      <name val="Arial"/>
      <family val="2"/>
      <scheme val="minor"/>
    </font>
    <font>
      <u/>
      <sz val="10"/>
      <color theme="10"/>
      <name val="Arial"/>
      <scheme val="minor"/>
    </font>
    <font>
      <sz val="10"/>
      <color theme="3"/>
      <name val="Arial"/>
      <family val="2"/>
      <scheme val="minor"/>
    </font>
    <font>
      <b/>
      <sz val="10"/>
      <color theme="3"/>
      <name val="Arial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4.9989318521683403E-2"/>
        <b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0000"/>
        <bgColor rgb="FFD9D9D9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FFFFFF"/>
      </patternFill>
    </fill>
  </fills>
  <borders count="8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7" fillId="0" borderId="0" applyNumberFormat="0" applyFill="0" applyBorder="0" applyAlignment="0" applyProtection="0"/>
  </cellStyleXfs>
  <cellXfs count="635">
    <xf numFmtId="0" fontId="0" fillId="0" borderId="0" xfId="0"/>
    <xf numFmtId="3" fontId="2" fillId="2" borderId="0" xfId="0" applyNumberFormat="1" applyFont="1" applyFill="1" applyAlignment="1">
      <alignment horizontal="left"/>
    </xf>
    <xf numFmtId="3" fontId="3" fillId="0" borderId="0" xfId="0" applyNumberFormat="1" applyFont="1"/>
    <xf numFmtId="3" fontId="4" fillId="0" borderId="0" xfId="0" applyNumberFormat="1" applyFont="1" applyAlignment="1">
      <alignment horizontal="center"/>
    </xf>
    <xf numFmtId="3" fontId="3" fillId="0" borderId="2" xfId="0" applyNumberFormat="1" applyFont="1" applyBorder="1"/>
    <xf numFmtId="3" fontId="4" fillId="0" borderId="1" xfId="0" applyNumberFormat="1" applyFont="1" applyBorder="1"/>
    <xf numFmtId="3" fontId="4" fillId="0" borderId="3" xfId="0" applyNumberFormat="1" applyFont="1" applyBorder="1"/>
    <xf numFmtId="3" fontId="6" fillId="0" borderId="0" xfId="0" applyNumberFormat="1" applyFont="1"/>
    <xf numFmtId="3" fontId="1" fillId="2" borderId="0" xfId="0" applyNumberFormat="1" applyFont="1" applyFill="1"/>
    <xf numFmtId="3" fontId="1" fillId="0" borderId="0" xfId="0" applyNumberFormat="1" applyFont="1"/>
    <xf numFmtId="3" fontId="1" fillId="2" borderId="4" xfId="0" applyNumberFormat="1" applyFont="1" applyFill="1" applyBorder="1"/>
    <xf numFmtId="3" fontId="4" fillId="0" borderId="5" xfId="0" applyNumberFormat="1" applyFont="1" applyBorder="1"/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6" fillId="0" borderId="9" xfId="0" applyNumberFormat="1" applyFont="1" applyBorder="1"/>
    <xf numFmtId="3" fontId="6" fillId="0" borderId="10" xfId="0" applyNumberFormat="1" applyFont="1" applyBorder="1"/>
    <xf numFmtId="3" fontId="6" fillId="0" borderId="11" xfId="0" applyNumberFormat="1" applyFont="1" applyBorder="1"/>
    <xf numFmtId="3" fontId="6" fillId="0" borderId="12" xfId="0" applyNumberFormat="1" applyFont="1" applyBorder="1"/>
    <xf numFmtId="3" fontId="6" fillId="0" borderId="13" xfId="0" applyNumberFormat="1" applyFont="1" applyBorder="1" applyAlignment="1">
      <alignment horizontal="left"/>
    </xf>
    <xf numFmtId="3" fontId="6" fillId="0" borderId="14" xfId="0" applyNumberFormat="1" applyFont="1" applyBorder="1" applyAlignment="1">
      <alignment horizontal="left"/>
    </xf>
    <xf numFmtId="3" fontId="6" fillId="0" borderId="15" xfId="0" applyNumberFormat="1" applyFont="1" applyBorder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0" fillId="5" borderId="29" xfId="0" applyFill="1" applyBorder="1"/>
    <xf numFmtId="0" fontId="0" fillId="6" borderId="30" xfId="0" applyFill="1" applyBorder="1"/>
    <xf numFmtId="0" fontId="9" fillId="0" borderId="31" xfId="0" applyFont="1" applyBorder="1"/>
    <xf numFmtId="0" fontId="0" fillId="7" borderId="30" xfId="0" applyFill="1" applyBorder="1"/>
    <xf numFmtId="0" fontId="0" fillId="8" borderId="32" xfId="0" applyFill="1" applyBorder="1"/>
    <xf numFmtId="0" fontId="9" fillId="0" borderId="33" xfId="0" applyFont="1" applyBorder="1"/>
    <xf numFmtId="0" fontId="9" fillId="0" borderId="34" xfId="0" applyFont="1" applyBorder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9" fillId="5" borderId="27" xfId="0" applyFont="1" applyFill="1" applyBorder="1" applyAlignment="1">
      <alignment horizontal="left" vertical="top" wrapText="1"/>
    </xf>
    <xf numFmtId="0" fontId="9" fillId="5" borderId="35" xfId="0" applyFont="1" applyFill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9" fillId="5" borderId="28" xfId="0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4" xfId="0" applyFont="1" applyBorder="1" applyAlignment="1">
      <alignment horizontal="left" vertical="top" wrapText="1"/>
    </xf>
    <xf numFmtId="0" fontId="10" fillId="0" borderId="27" xfId="0" applyFont="1" applyBorder="1" applyAlignment="1">
      <alignment horizontal="left" vertical="top" wrapText="1"/>
    </xf>
    <xf numFmtId="0" fontId="10" fillId="0" borderId="35" xfId="0" applyFont="1" applyBorder="1" applyAlignment="1">
      <alignment horizontal="left" vertical="top" wrapText="1"/>
    </xf>
    <xf numFmtId="0" fontId="10" fillId="0" borderId="28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9" fillId="5" borderId="16" xfId="0" applyFont="1" applyFill="1" applyBorder="1"/>
    <xf numFmtId="0" fontId="9" fillId="4" borderId="0" xfId="0" applyFont="1" applyFill="1" applyAlignment="1">
      <alignment horizontal="left" vertical="top"/>
    </xf>
    <xf numFmtId="0" fontId="10" fillId="10" borderId="28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9" fontId="7" fillId="3" borderId="0" xfId="0" applyNumberFormat="1" applyFont="1" applyFill="1" applyAlignment="1">
      <alignment horizontal="center"/>
    </xf>
    <xf numFmtId="9" fontId="6" fillId="0" borderId="0" xfId="0" applyNumberFormat="1" applyFont="1"/>
    <xf numFmtId="3" fontId="11" fillId="2" borderId="0" xfId="0" applyNumberFormat="1" applyFont="1" applyFill="1" applyAlignment="1">
      <alignment horizontal="center"/>
    </xf>
    <xf numFmtId="0" fontId="17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9" fontId="18" fillId="0" borderId="0" xfId="0" applyNumberFormat="1" applyFont="1"/>
    <xf numFmtId="0" fontId="10" fillId="0" borderId="0" xfId="0" applyFont="1" applyAlignment="1">
      <alignment horizontal="left" vertical="center"/>
    </xf>
    <xf numFmtId="43" fontId="0" fillId="0" borderId="0" xfId="1" applyFont="1"/>
    <xf numFmtId="168" fontId="6" fillId="0" borderId="0" xfId="1" applyNumberFormat="1" applyFont="1" applyBorder="1" applyAlignment="1">
      <alignment horizontal="left"/>
    </xf>
    <xf numFmtId="3" fontId="16" fillId="0" borderId="25" xfId="0" applyNumberFormat="1" applyFont="1" applyBorder="1" applyAlignment="1">
      <alignment horizontal="left" vertical="center" wrapText="1"/>
    </xf>
    <xf numFmtId="0" fontId="10" fillId="10" borderId="16" xfId="0" applyFont="1" applyFill="1" applyBorder="1" applyAlignment="1">
      <alignment horizontal="left" vertical="center"/>
    </xf>
    <xf numFmtId="0" fontId="0" fillId="0" borderId="25" xfId="0" applyBorder="1" applyAlignment="1">
      <alignment horizontal="center" vertical="center" wrapText="1"/>
    </xf>
    <xf numFmtId="9" fontId="0" fillId="0" borderId="25" xfId="0" applyNumberFormat="1" applyBorder="1" applyAlignment="1">
      <alignment horizontal="center" vertical="center"/>
    </xf>
    <xf numFmtId="10" fontId="0" fillId="0" borderId="25" xfId="2" applyNumberFormat="1" applyFont="1" applyBorder="1" applyAlignment="1">
      <alignment horizontal="center" vertical="top" wrapText="1"/>
    </xf>
    <xf numFmtId="0" fontId="4" fillId="0" borderId="25" xfId="0" applyFont="1" applyBorder="1" applyAlignment="1">
      <alignment horizontal="center" vertical="center" wrapText="1"/>
    </xf>
    <xf numFmtId="9" fontId="4" fillId="0" borderId="25" xfId="2" applyFont="1" applyBorder="1" applyAlignment="1">
      <alignment horizontal="center" vertical="center" wrapText="1"/>
    </xf>
    <xf numFmtId="9" fontId="0" fillId="0" borderId="25" xfId="2" applyFont="1" applyBorder="1" applyAlignment="1">
      <alignment horizontal="center" vertical="center" wrapText="1"/>
    </xf>
    <xf numFmtId="9" fontId="0" fillId="0" borderId="0" xfId="2" applyFont="1"/>
    <xf numFmtId="169" fontId="0" fillId="0" borderId="0" xfId="2" applyNumberFormat="1" applyFont="1"/>
    <xf numFmtId="166" fontId="10" fillId="0" borderId="49" xfId="0" applyNumberFormat="1" applyFont="1" applyBorder="1"/>
    <xf numFmtId="2" fontId="10" fillId="0" borderId="49" xfId="0" applyNumberFormat="1" applyFont="1" applyBorder="1"/>
    <xf numFmtId="170" fontId="10" fillId="0" borderId="49" xfId="0" applyNumberFormat="1" applyFont="1" applyBorder="1"/>
    <xf numFmtId="168" fontId="10" fillId="0" borderId="49" xfId="1" applyNumberFormat="1" applyFont="1" applyBorder="1"/>
    <xf numFmtId="3" fontId="24" fillId="13" borderId="49" xfId="0" applyNumberFormat="1" applyFont="1" applyFill="1" applyBorder="1"/>
    <xf numFmtId="0" fontId="21" fillId="14" borderId="49" xfId="0" applyFont="1" applyFill="1" applyBorder="1"/>
    <xf numFmtId="9" fontId="0" fillId="0" borderId="0" xfId="2" applyFont="1" applyAlignment="1">
      <alignment horizontal="center" vertical="center"/>
    </xf>
    <xf numFmtId="3" fontId="16" fillId="0" borderId="44" xfId="0" applyNumberFormat="1" applyFont="1" applyBorder="1" applyAlignment="1">
      <alignment horizontal="left" vertical="center" wrapText="1"/>
    </xf>
    <xf numFmtId="10" fontId="0" fillId="0" borderId="0" xfId="2" applyNumberFormat="1" applyFont="1"/>
    <xf numFmtId="0" fontId="10" fillId="0" borderId="1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166" fontId="10" fillId="0" borderId="16" xfId="0" applyNumberFormat="1" applyFont="1" applyBorder="1" applyAlignment="1">
      <alignment horizontal="center" vertical="center"/>
    </xf>
    <xf numFmtId="165" fontId="0" fillId="0" borderId="51" xfId="2" applyNumberFormat="1" applyFont="1" applyBorder="1" applyAlignment="1">
      <alignment horizontal="center" vertical="center"/>
    </xf>
    <xf numFmtId="169" fontId="0" fillId="0" borderId="51" xfId="2" applyNumberFormat="1" applyFont="1" applyBorder="1" applyAlignment="1">
      <alignment horizontal="center" vertical="center"/>
    </xf>
    <xf numFmtId="165" fontId="0" fillId="0" borderId="52" xfId="2" applyNumberFormat="1" applyFont="1" applyBorder="1" applyAlignment="1">
      <alignment horizontal="center" vertical="center"/>
    </xf>
    <xf numFmtId="169" fontId="0" fillId="0" borderId="52" xfId="2" applyNumberFormat="1" applyFont="1" applyBorder="1" applyAlignment="1">
      <alignment horizontal="center" vertical="center"/>
    </xf>
    <xf numFmtId="3" fontId="3" fillId="5" borderId="0" xfId="0" applyNumberFormat="1" applyFont="1" applyFill="1"/>
    <xf numFmtId="3" fontId="19" fillId="5" borderId="0" xfId="0" applyNumberFormat="1" applyFont="1" applyFill="1"/>
    <xf numFmtId="3" fontId="19" fillId="5" borderId="0" xfId="0" applyNumberFormat="1" applyFont="1" applyFill="1" applyAlignment="1">
      <alignment horizontal="left" vertical="center"/>
    </xf>
    <xf numFmtId="3" fontId="3" fillId="5" borderId="0" xfId="0" applyNumberFormat="1" applyFont="1" applyFill="1" applyAlignment="1">
      <alignment horizontal="left" vertical="center"/>
    </xf>
    <xf numFmtId="3" fontId="4" fillId="5" borderId="0" xfId="0" applyNumberFormat="1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3" fontId="11" fillId="2" borderId="0" xfId="0" applyNumberFormat="1" applyFont="1" applyFill="1" applyAlignment="1">
      <alignment horizontal="left" vertical="center"/>
    </xf>
    <xf numFmtId="0" fontId="9" fillId="0" borderId="0" xfId="0" applyFont="1" applyAlignment="1">
      <alignment vertical="top" wrapText="1"/>
    </xf>
    <xf numFmtId="165" fontId="0" fillId="0" borderId="53" xfId="2" applyNumberFormat="1" applyFont="1" applyBorder="1" applyAlignment="1">
      <alignment horizontal="center" vertical="center"/>
    </xf>
    <xf numFmtId="166" fontId="10" fillId="0" borderId="27" xfId="0" applyNumberFormat="1" applyFont="1" applyBorder="1"/>
    <xf numFmtId="0" fontId="17" fillId="0" borderId="27" xfId="0" applyFont="1" applyBorder="1" applyAlignment="1">
      <alignment horizontal="left" vertical="center"/>
    </xf>
    <xf numFmtId="169" fontId="0" fillId="0" borderId="0" xfId="2" applyNumberFormat="1" applyFont="1" applyBorder="1" applyAlignment="1">
      <alignment horizontal="center" vertical="center"/>
    </xf>
    <xf numFmtId="164" fontId="0" fillId="0" borderId="20" xfId="0" applyNumberFormat="1" applyBorder="1"/>
    <xf numFmtId="164" fontId="0" fillId="0" borderId="22" xfId="0" applyNumberFormat="1" applyBorder="1"/>
    <xf numFmtId="0" fontId="17" fillId="0" borderId="54" xfId="0" applyFont="1" applyBorder="1" applyAlignment="1">
      <alignment horizontal="center" vertical="center"/>
    </xf>
    <xf numFmtId="0" fontId="17" fillId="0" borderId="55" xfId="0" applyFont="1" applyBorder="1" applyAlignment="1">
      <alignment horizontal="left" vertical="center"/>
    </xf>
    <xf numFmtId="0" fontId="17" fillId="0" borderId="55" xfId="0" applyFont="1" applyBorder="1" applyAlignment="1">
      <alignment horizontal="center" vertical="center"/>
    </xf>
    <xf numFmtId="0" fontId="17" fillId="0" borderId="56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4" xfId="0" applyFont="1" applyBorder="1" applyAlignment="1">
      <alignment horizontal="left" vertical="center"/>
    </xf>
    <xf numFmtId="171" fontId="0" fillId="0" borderId="21" xfId="2" applyNumberFormat="1" applyFont="1" applyBorder="1"/>
    <xf numFmtId="169" fontId="0" fillId="0" borderId="23" xfId="2" applyNumberFormat="1" applyFont="1" applyBorder="1" applyAlignment="1">
      <alignment horizontal="center" vertical="center"/>
    </xf>
    <xf numFmtId="171" fontId="0" fillId="0" borderId="24" xfId="2" applyNumberFormat="1" applyFont="1" applyBorder="1"/>
    <xf numFmtId="171" fontId="0" fillId="0" borderId="0" xfId="2" applyNumberFormat="1" applyFont="1" applyBorder="1"/>
    <xf numFmtId="171" fontId="0" fillId="0" borderId="23" xfId="2" applyNumberFormat="1" applyFont="1" applyBorder="1"/>
    <xf numFmtId="0" fontId="0" fillId="0" borderId="23" xfId="0" applyBorder="1" applyAlignment="1">
      <alignment horizontal="center" vertical="center"/>
    </xf>
    <xf numFmtId="3" fontId="15" fillId="0" borderId="25" xfId="0" applyNumberFormat="1" applyFont="1" applyBorder="1" applyAlignment="1">
      <alignment horizontal="left" vertical="center" wrapText="1"/>
    </xf>
    <xf numFmtId="3" fontId="11" fillId="2" borderId="25" xfId="0" applyNumberFormat="1" applyFont="1" applyFill="1" applyBorder="1"/>
    <xf numFmtId="3" fontId="11" fillId="2" borderId="25" xfId="0" applyNumberFormat="1" applyFont="1" applyFill="1" applyBorder="1" applyAlignment="1">
      <alignment horizontal="center"/>
    </xf>
    <xf numFmtId="166" fontId="11" fillId="2" borderId="25" xfId="0" applyNumberFormat="1" applyFont="1" applyFill="1" applyBorder="1" applyAlignment="1">
      <alignment horizontal="center"/>
    </xf>
    <xf numFmtId="3" fontId="12" fillId="3" borderId="25" xfId="0" applyNumberFormat="1" applyFont="1" applyFill="1" applyBorder="1" applyAlignment="1">
      <alignment horizontal="center"/>
    </xf>
    <xf numFmtId="3" fontId="11" fillId="0" borderId="25" xfId="0" applyNumberFormat="1" applyFont="1" applyBorder="1"/>
    <xf numFmtId="3" fontId="11" fillId="2" borderId="25" xfId="0" applyNumberFormat="1" applyFont="1" applyFill="1" applyBorder="1" applyAlignment="1">
      <alignment horizontal="left"/>
    </xf>
    <xf numFmtId="167" fontId="11" fillId="2" borderId="25" xfId="0" applyNumberFormat="1" applyFont="1" applyFill="1" applyBorder="1" applyAlignment="1">
      <alignment horizontal="center"/>
    </xf>
    <xf numFmtId="3" fontId="15" fillId="0" borderId="46" xfId="0" applyNumberFormat="1" applyFont="1" applyBorder="1" applyAlignment="1">
      <alignment horizontal="left" vertical="center" wrapText="1"/>
    </xf>
    <xf numFmtId="3" fontId="11" fillId="2" borderId="46" xfId="0" applyNumberFormat="1" applyFont="1" applyFill="1" applyBorder="1"/>
    <xf numFmtId="3" fontId="11" fillId="0" borderId="46" xfId="0" applyNumberFormat="1" applyFont="1" applyBorder="1"/>
    <xf numFmtId="171" fontId="0" fillId="0" borderId="0" xfId="0" applyNumberFormat="1"/>
    <xf numFmtId="0" fontId="29" fillId="14" borderId="0" xfId="0" applyFont="1" applyFill="1" applyAlignment="1">
      <alignment horizontal="left"/>
    </xf>
    <xf numFmtId="171" fontId="29" fillId="14" borderId="0" xfId="0" applyNumberFormat="1" applyFont="1" applyFill="1"/>
    <xf numFmtId="0" fontId="29" fillId="14" borderId="0" xfId="0" applyFont="1" applyFill="1"/>
    <xf numFmtId="0" fontId="29" fillId="14" borderId="0" xfId="0" applyFont="1" applyFill="1" applyAlignment="1">
      <alignment horizontal="left" vertical="center"/>
    </xf>
    <xf numFmtId="3" fontId="4" fillId="0" borderId="25" xfId="0" applyNumberFormat="1" applyFont="1" applyBorder="1"/>
    <xf numFmtId="3" fontId="8" fillId="0" borderId="25" xfId="0" applyNumberFormat="1" applyFont="1" applyBorder="1"/>
    <xf numFmtId="0" fontId="3" fillId="0" borderId="25" xfId="0" applyFont="1" applyBorder="1"/>
    <xf numFmtId="3" fontId="6" fillId="0" borderId="25" xfId="0" applyNumberFormat="1" applyFont="1" applyBorder="1"/>
    <xf numFmtId="0" fontId="30" fillId="0" borderId="25" xfId="0" applyFont="1" applyBorder="1"/>
    <xf numFmtId="164" fontId="11" fillId="2" borderId="44" xfId="0" applyNumberFormat="1" applyFont="1" applyFill="1" applyBorder="1" applyAlignment="1">
      <alignment horizontal="center"/>
    </xf>
    <xf numFmtId="3" fontId="11" fillId="2" borderId="46" xfId="0" applyNumberFormat="1" applyFont="1" applyFill="1" applyBorder="1" applyAlignment="1">
      <alignment horizontal="center"/>
    </xf>
    <xf numFmtId="3" fontId="16" fillId="0" borderId="30" xfId="0" applyNumberFormat="1" applyFont="1" applyBorder="1" applyAlignment="1">
      <alignment horizontal="left" vertical="center" wrapText="1"/>
    </xf>
    <xf numFmtId="3" fontId="16" fillId="0" borderId="31" xfId="0" applyNumberFormat="1" applyFont="1" applyBorder="1" applyAlignment="1">
      <alignment horizontal="left" vertical="center" wrapText="1"/>
    </xf>
    <xf numFmtId="166" fontId="11" fillId="2" borderId="30" xfId="0" applyNumberFormat="1" applyFont="1" applyFill="1" applyBorder="1" applyAlignment="1">
      <alignment horizontal="center"/>
    </xf>
    <xf numFmtId="3" fontId="11" fillId="2" borderId="31" xfId="0" applyNumberFormat="1" applyFont="1" applyFill="1" applyBorder="1" applyAlignment="1">
      <alignment horizontal="center"/>
    </xf>
    <xf numFmtId="167" fontId="11" fillId="2" borderId="30" xfId="0" applyNumberFormat="1" applyFont="1" applyFill="1" applyBorder="1" applyAlignment="1">
      <alignment horizontal="center"/>
    </xf>
    <xf numFmtId="3" fontId="11" fillId="2" borderId="50" xfId="0" applyNumberFormat="1" applyFont="1" applyFill="1" applyBorder="1" applyAlignment="1">
      <alignment horizontal="center"/>
    </xf>
    <xf numFmtId="3" fontId="12" fillId="3" borderId="50" xfId="0" applyNumberFormat="1" applyFont="1" applyFill="1" applyBorder="1" applyAlignment="1">
      <alignment horizontal="center"/>
    </xf>
    <xf numFmtId="3" fontId="11" fillId="2" borderId="33" xfId="0" applyNumberFormat="1" applyFont="1" applyFill="1" applyBorder="1" applyAlignment="1">
      <alignment horizontal="center"/>
    </xf>
    <xf numFmtId="3" fontId="11" fillId="2" borderId="58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171" fontId="14" fillId="0" borderId="21" xfId="2" applyNumberFormat="1" applyFont="1" applyBorder="1"/>
    <xf numFmtId="171" fontId="14" fillId="0" borderId="24" xfId="2" applyNumberFormat="1" applyFont="1" applyBorder="1"/>
    <xf numFmtId="0" fontId="31" fillId="14" borderId="0" xfId="0" applyFont="1" applyFill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8" fontId="0" fillId="17" borderId="0" xfId="1" applyNumberFormat="1" applyFont="1" applyFill="1" applyAlignment="1">
      <alignment horizontal="center" vertical="center"/>
    </xf>
    <xf numFmtId="168" fontId="31" fillId="14" borderId="0" xfId="1" applyNumberFormat="1" applyFont="1" applyFill="1" applyAlignment="1">
      <alignment horizontal="center" vertical="center"/>
    </xf>
    <xf numFmtId="172" fontId="34" fillId="0" borderId="59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3" fontId="36" fillId="0" borderId="25" xfId="0" applyNumberFormat="1" applyFont="1" applyBorder="1" applyAlignment="1">
      <alignment horizontal="left"/>
    </xf>
    <xf numFmtId="165" fontId="37" fillId="0" borderId="25" xfId="0" applyNumberFormat="1" applyFont="1" applyBorder="1" applyAlignment="1">
      <alignment horizontal="left"/>
    </xf>
    <xf numFmtId="172" fontId="22" fillId="14" borderId="59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3" fontId="1" fillId="11" borderId="0" xfId="0" applyNumberFormat="1" applyFont="1" applyFill="1" applyAlignment="1">
      <alignment horizontal="left"/>
    </xf>
    <xf numFmtId="3" fontId="23" fillId="18" borderId="17" xfId="0" applyNumberFormat="1" applyFont="1" applyFill="1" applyBorder="1" applyAlignment="1">
      <alignment horizontal="left" vertical="center"/>
    </xf>
    <xf numFmtId="3" fontId="11" fillId="18" borderId="18" xfId="0" applyNumberFormat="1" applyFont="1" applyFill="1" applyBorder="1" applyAlignment="1">
      <alignment horizontal="left" vertical="center"/>
    </xf>
    <xf numFmtId="0" fontId="0" fillId="19" borderId="19" xfId="0" applyFill="1" applyBorder="1" applyAlignment="1">
      <alignment horizontal="left" vertical="center"/>
    </xf>
    <xf numFmtId="0" fontId="0" fillId="19" borderId="21" xfId="0" applyFill="1" applyBorder="1" applyAlignment="1">
      <alignment horizontal="left" vertical="center"/>
    </xf>
    <xf numFmtId="3" fontId="11" fillId="18" borderId="20" xfId="0" applyNumberFormat="1" applyFont="1" applyFill="1" applyBorder="1" applyAlignment="1">
      <alignment horizontal="left" vertical="center"/>
    </xf>
    <xf numFmtId="3" fontId="11" fillId="18" borderId="0" xfId="0" applyNumberFormat="1" applyFont="1" applyFill="1" applyAlignment="1">
      <alignment horizontal="left" vertical="center"/>
    </xf>
    <xf numFmtId="3" fontId="28" fillId="18" borderId="0" xfId="0" applyNumberFormat="1" applyFont="1" applyFill="1" applyAlignment="1">
      <alignment horizontal="left" vertical="center"/>
    </xf>
    <xf numFmtId="3" fontId="11" fillId="18" borderId="22" xfId="0" applyNumberFormat="1" applyFont="1" applyFill="1" applyBorder="1" applyAlignment="1">
      <alignment horizontal="left" vertical="center"/>
    </xf>
    <xf numFmtId="3" fontId="11" fillId="18" borderId="23" xfId="0" applyNumberFormat="1" applyFont="1" applyFill="1" applyBorder="1" applyAlignment="1">
      <alignment horizontal="left" vertical="center"/>
    </xf>
    <xf numFmtId="0" fontId="0" fillId="19" borderId="24" xfId="0" applyFill="1" applyBorder="1" applyAlignment="1">
      <alignment horizontal="left" vertical="center"/>
    </xf>
    <xf numFmtId="3" fontId="39" fillId="18" borderId="20" xfId="0" applyNumberFormat="1" applyFont="1" applyFill="1" applyBorder="1" applyAlignment="1">
      <alignment horizontal="left" vertical="center"/>
    </xf>
    <xf numFmtId="3" fontId="39" fillId="18" borderId="0" xfId="0" applyNumberFormat="1" applyFont="1" applyFill="1" applyAlignment="1">
      <alignment horizontal="left" vertical="center"/>
    </xf>
    <xf numFmtId="3" fontId="19" fillId="0" borderId="25" xfId="0" applyNumberFormat="1" applyFont="1" applyBorder="1" applyAlignment="1">
      <alignment horizontal="left" vertical="center" wrapText="1"/>
    </xf>
    <xf numFmtId="3" fontId="11" fillId="18" borderId="36" xfId="0" applyNumberFormat="1" applyFont="1" applyFill="1" applyBorder="1" applyAlignment="1">
      <alignment horizontal="left" vertical="center"/>
    </xf>
    <xf numFmtId="3" fontId="28" fillId="18" borderId="37" xfId="0" applyNumberFormat="1" applyFont="1" applyFill="1" applyBorder="1" applyAlignment="1">
      <alignment horizontal="left" vertical="center"/>
    </xf>
    <xf numFmtId="3" fontId="11" fillId="18" borderId="37" xfId="0" applyNumberFormat="1" applyFont="1" applyFill="1" applyBorder="1" applyAlignment="1">
      <alignment horizontal="left" vertical="center"/>
    </xf>
    <xf numFmtId="0" fontId="0" fillId="19" borderId="38" xfId="0" applyFill="1" applyBorder="1" applyAlignment="1">
      <alignment horizontal="left" vertical="center"/>
    </xf>
    <xf numFmtId="3" fontId="11" fillId="18" borderId="41" xfId="0" applyNumberFormat="1" applyFont="1" applyFill="1" applyBorder="1" applyAlignment="1">
      <alignment horizontal="left" vertical="center"/>
    </xf>
    <xf numFmtId="3" fontId="28" fillId="18" borderId="42" xfId="0" applyNumberFormat="1" applyFont="1" applyFill="1" applyBorder="1" applyAlignment="1">
      <alignment horizontal="left" vertical="center"/>
    </xf>
    <xf numFmtId="3" fontId="11" fillId="18" borderId="42" xfId="0" applyNumberFormat="1" applyFont="1" applyFill="1" applyBorder="1" applyAlignment="1">
      <alignment horizontal="left" vertical="center"/>
    </xf>
    <xf numFmtId="0" fontId="0" fillId="19" borderId="43" xfId="0" applyFill="1" applyBorder="1" applyAlignment="1">
      <alignment horizontal="left" vertical="center"/>
    </xf>
    <xf numFmtId="0" fontId="10" fillId="0" borderId="25" xfId="0" applyFont="1" applyBorder="1" applyAlignment="1">
      <alignment horizontal="center" vertical="center"/>
    </xf>
    <xf numFmtId="0" fontId="0" fillId="4" borderId="0" xfId="0" applyFill="1"/>
    <xf numFmtId="3" fontId="22" fillId="0" borderId="0" xfId="0" applyNumberFormat="1" applyFont="1" applyAlignment="1">
      <alignment horizontal="center" vertical="center"/>
    </xf>
    <xf numFmtId="169" fontId="0" fillId="0" borderId="0" xfId="2" applyNumberFormat="1" applyFont="1" applyAlignment="1">
      <alignment horizontal="center" vertical="center"/>
    </xf>
    <xf numFmtId="9" fontId="6" fillId="0" borderId="37" xfId="0" applyNumberFormat="1" applyFont="1" applyBorder="1"/>
    <xf numFmtId="3" fontId="19" fillId="5" borderId="44" xfId="0" applyNumberFormat="1" applyFont="1" applyFill="1" applyBorder="1"/>
    <xf numFmtId="3" fontId="3" fillId="5" borderId="45" xfId="0" applyNumberFormat="1" applyFont="1" applyFill="1" applyBorder="1"/>
    <xf numFmtId="3" fontId="4" fillId="5" borderId="45" xfId="0" applyNumberFormat="1" applyFont="1" applyFill="1" applyBorder="1" applyAlignment="1">
      <alignment horizontal="center"/>
    </xf>
    <xf numFmtId="0" fontId="0" fillId="5" borderId="45" xfId="0" applyFill="1" applyBorder="1"/>
    <xf numFmtId="0" fontId="0" fillId="5" borderId="46" xfId="0" applyFill="1" applyBorder="1"/>
    <xf numFmtId="3" fontId="19" fillId="0" borderId="46" xfId="0" applyNumberFormat="1" applyFont="1" applyBorder="1" applyAlignment="1">
      <alignment horizontal="left" vertical="center" wrapText="1"/>
    </xf>
    <xf numFmtId="168" fontId="10" fillId="0" borderId="25" xfId="0" applyNumberFormat="1" applyFont="1" applyBorder="1" applyAlignment="1">
      <alignment horizontal="center" vertical="center"/>
    </xf>
    <xf numFmtId="169" fontId="4" fillId="5" borderId="26" xfId="2" applyNumberFormat="1" applyFont="1" applyFill="1" applyBorder="1" applyAlignment="1">
      <alignment horizontal="center"/>
    </xf>
    <xf numFmtId="3" fontId="19" fillId="0" borderId="27" xfId="0" applyNumberFormat="1" applyFont="1" applyBorder="1" applyAlignment="1">
      <alignment horizontal="right"/>
    </xf>
    <xf numFmtId="3" fontId="19" fillId="0" borderId="41" xfId="0" applyNumberFormat="1" applyFont="1" applyBorder="1" applyAlignment="1">
      <alignment horizontal="left" vertical="center" wrapText="1"/>
    </xf>
    <xf numFmtId="3" fontId="4" fillId="0" borderId="20" xfId="0" applyNumberFormat="1" applyFont="1" applyBorder="1" applyAlignment="1">
      <alignment horizontal="center"/>
    </xf>
    <xf numFmtId="3" fontId="6" fillId="0" borderId="60" xfId="0" applyNumberFormat="1" applyFont="1" applyBorder="1"/>
    <xf numFmtId="9" fontId="6" fillId="0" borderId="61" xfId="0" applyNumberFormat="1" applyFont="1" applyBorder="1"/>
    <xf numFmtId="3" fontId="6" fillId="0" borderId="20" xfId="0" applyNumberFormat="1" applyFont="1" applyBorder="1"/>
    <xf numFmtId="9" fontId="6" fillId="0" borderId="21" xfId="0" applyNumberFormat="1" applyFont="1" applyBorder="1"/>
    <xf numFmtId="3" fontId="6" fillId="0" borderId="22" xfId="0" applyNumberFormat="1" applyFont="1" applyBorder="1"/>
    <xf numFmtId="9" fontId="7" fillId="3" borderId="23" xfId="0" applyNumberFormat="1" applyFont="1" applyFill="1" applyBorder="1" applyAlignment="1">
      <alignment horizontal="center"/>
    </xf>
    <xf numFmtId="9" fontId="6" fillId="0" borderId="24" xfId="0" applyNumberFormat="1" applyFont="1" applyBorder="1"/>
    <xf numFmtId="168" fontId="10" fillId="0" borderId="20" xfId="0" applyNumberFormat="1" applyFont="1" applyBorder="1" applyAlignment="1">
      <alignment horizontal="center" vertical="center"/>
    </xf>
    <xf numFmtId="3" fontId="19" fillId="0" borderId="21" xfId="0" applyNumberFormat="1" applyFont="1" applyBorder="1" applyAlignment="1">
      <alignment horizontal="center" vertical="center"/>
    </xf>
    <xf numFmtId="168" fontId="6" fillId="0" borderId="64" xfId="1" applyNumberFormat="1" applyFont="1" applyBorder="1" applyAlignment="1">
      <alignment horizontal="left"/>
    </xf>
    <xf numFmtId="168" fontId="6" fillId="0" borderId="21" xfId="1" applyNumberFormat="1" applyFont="1" applyBorder="1" applyAlignment="1">
      <alignment horizontal="left"/>
    </xf>
    <xf numFmtId="168" fontId="6" fillId="0" borderId="65" xfId="1" applyNumberFormat="1" applyFont="1" applyBorder="1" applyAlignment="1">
      <alignment horizontal="left"/>
    </xf>
    <xf numFmtId="168" fontId="6" fillId="0" borderId="24" xfId="1" applyNumberFormat="1" applyFont="1" applyBorder="1" applyAlignment="1">
      <alignment horizontal="left"/>
    </xf>
    <xf numFmtId="168" fontId="10" fillId="0" borderId="30" xfId="0" applyNumberFormat="1" applyFont="1" applyBorder="1" applyAlignment="1">
      <alignment horizontal="center" vertical="center"/>
    </xf>
    <xf numFmtId="168" fontId="10" fillId="0" borderId="31" xfId="0" applyNumberFormat="1" applyFont="1" applyBorder="1" applyAlignment="1">
      <alignment horizontal="center" vertical="center"/>
    </xf>
    <xf numFmtId="168" fontId="7" fillId="3" borderId="20" xfId="1" applyNumberFormat="1" applyFont="1" applyFill="1" applyBorder="1" applyAlignment="1">
      <alignment horizontal="left"/>
    </xf>
    <xf numFmtId="168" fontId="7" fillId="3" borderId="22" xfId="1" applyNumberFormat="1" applyFont="1" applyFill="1" applyBorder="1" applyAlignment="1">
      <alignment horizontal="left"/>
    </xf>
    <xf numFmtId="168" fontId="6" fillId="0" borderId="23" xfId="1" applyNumberFormat="1" applyFont="1" applyBorder="1" applyAlignment="1">
      <alignment horizontal="left"/>
    </xf>
    <xf numFmtId="0" fontId="10" fillId="0" borderId="17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168" fontId="10" fillId="0" borderId="30" xfId="0" applyNumberFormat="1" applyFont="1" applyBorder="1" applyAlignment="1">
      <alignment wrapText="1"/>
    </xf>
    <xf numFmtId="168" fontId="10" fillId="0" borderId="31" xfId="0" applyNumberFormat="1" applyFont="1" applyBorder="1" applyAlignment="1">
      <alignment wrapText="1"/>
    </xf>
    <xf numFmtId="3" fontId="19" fillId="0" borderId="30" xfId="0" applyNumberFormat="1" applyFont="1" applyBorder="1" applyAlignment="1">
      <alignment horizontal="left" vertical="center" wrapText="1"/>
    </xf>
    <xf numFmtId="3" fontId="19" fillId="0" borderId="31" xfId="0" applyNumberFormat="1" applyFont="1" applyBorder="1" applyAlignment="1">
      <alignment horizontal="left" vertical="center" wrapText="1"/>
    </xf>
    <xf numFmtId="169" fontId="6" fillId="0" borderId="40" xfId="2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9" fontId="10" fillId="5" borderId="69" xfId="2" applyFont="1" applyFill="1" applyBorder="1" applyAlignment="1">
      <alignment horizontal="center" vertical="center"/>
    </xf>
    <xf numFmtId="168" fontId="0" fillId="0" borderId="0" xfId="0" applyNumberFormat="1"/>
    <xf numFmtId="169" fontId="6" fillId="0" borderId="0" xfId="2" applyNumberFormat="1" applyFont="1" applyBorder="1" applyAlignment="1">
      <alignment horizontal="center" vertical="center"/>
    </xf>
    <xf numFmtId="168" fontId="0" fillId="0" borderId="29" xfId="0" applyNumberFormat="1" applyBorder="1"/>
    <xf numFmtId="43" fontId="0" fillId="0" borderId="69" xfId="0" applyNumberFormat="1" applyBorder="1"/>
    <xf numFmtId="10" fontId="10" fillId="5" borderId="69" xfId="2" applyNumberFormat="1" applyFont="1" applyFill="1" applyBorder="1" applyAlignment="1">
      <alignment horizontal="center" vertical="center"/>
    </xf>
    <xf numFmtId="168" fontId="0" fillId="0" borderId="69" xfId="0" applyNumberFormat="1" applyBorder="1"/>
    <xf numFmtId="168" fontId="10" fillId="0" borderId="29" xfId="0" applyNumberFormat="1" applyFont="1" applyBorder="1" applyAlignment="1">
      <alignment horizontal="center" vertical="center"/>
    </xf>
    <xf numFmtId="168" fontId="10" fillId="0" borderId="69" xfId="0" applyNumberFormat="1" applyFont="1" applyBorder="1" applyAlignment="1">
      <alignment horizontal="center" vertical="center"/>
    </xf>
    <xf numFmtId="168" fontId="10" fillId="0" borderId="72" xfId="0" applyNumberFormat="1" applyFont="1" applyBorder="1" applyAlignment="1">
      <alignment horizontal="center" vertical="center"/>
    </xf>
    <xf numFmtId="10" fontId="0" fillId="0" borderId="73" xfId="2" applyNumberFormat="1" applyFont="1" applyBorder="1" applyAlignment="1">
      <alignment horizontal="center" vertical="center"/>
    </xf>
    <xf numFmtId="10" fontId="0" fillId="0" borderId="74" xfId="2" applyNumberFormat="1" applyFont="1" applyBorder="1" applyAlignment="1">
      <alignment horizontal="center" vertical="center"/>
    </xf>
    <xf numFmtId="4" fontId="11" fillId="2" borderId="25" xfId="0" applyNumberFormat="1" applyFont="1" applyFill="1" applyBorder="1" applyAlignment="1">
      <alignment horizontal="center"/>
    </xf>
    <xf numFmtId="3" fontId="21" fillId="14" borderId="0" xfId="0" applyNumberFormat="1" applyFont="1" applyFill="1" applyAlignment="1">
      <alignment horizontal="center"/>
    </xf>
    <xf numFmtId="168" fontId="10" fillId="0" borderId="37" xfId="1" applyNumberFormat="1" applyFont="1" applyBorder="1"/>
    <xf numFmtId="43" fontId="10" fillId="0" borderId="37" xfId="1" applyFont="1" applyBorder="1"/>
    <xf numFmtId="0" fontId="29" fillId="14" borderId="0" xfId="0" applyFont="1" applyFill="1" applyAlignment="1">
      <alignment wrapText="1"/>
    </xf>
    <xf numFmtId="0" fontId="31" fillId="9" borderId="0" xfId="0" applyFont="1" applyFill="1" applyAlignment="1">
      <alignment wrapText="1"/>
    </xf>
    <xf numFmtId="9" fontId="40" fillId="20" borderId="0" xfId="0" applyNumberFormat="1" applyFont="1" applyFill="1" applyAlignment="1">
      <alignment horizontal="center"/>
    </xf>
    <xf numFmtId="9" fontId="31" fillId="21" borderId="0" xfId="0" applyNumberFormat="1" applyFont="1" applyFill="1"/>
    <xf numFmtId="3" fontId="32" fillId="4" borderId="0" xfId="0" applyNumberFormat="1" applyFont="1" applyFill="1" applyAlignment="1">
      <alignment horizontal="center"/>
    </xf>
    <xf numFmtId="3" fontId="32" fillId="4" borderId="0" xfId="0" applyNumberFormat="1" applyFont="1" applyFill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9" fontId="0" fillId="0" borderId="25" xfId="2" applyFont="1" applyBorder="1"/>
    <xf numFmtId="10" fontId="0" fillId="0" borderId="77" xfId="2" applyNumberFormat="1" applyFont="1" applyBorder="1" applyAlignment="1">
      <alignment horizontal="center" vertical="center"/>
    </xf>
    <xf numFmtId="10" fontId="0" fillId="0" borderId="78" xfId="2" applyNumberFormat="1" applyFont="1" applyBorder="1" applyAlignment="1">
      <alignment horizontal="center" vertical="center"/>
    </xf>
    <xf numFmtId="0" fontId="31" fillId="14" borderId="53" xfId="0" applyFont="1" applyFill="1" applyBorder="1" applyAlignment="1">
      <alignment horizontal="center" vertical="center"/>
    </xf>
    <xf numFmtId="168" fontId="0" fillId="0" borderId="76" xfId="0" applyNumberFormat="1" applyBorder="1"/>
    <xf numFmtId="3" fontId="4" fillId="0" borderId="62" xfId="0" applyNumberFormat="1" applyFont="1" applyBorder="1" applyAlignment="1">
      <alignment horizontal="center" vertical="center" wrapText="1"/>
    </xf>
    <xf numFmtId="0" fontId="4" fillId="0" borderId="79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 wrapText="1"/>
    </xf>
    <xf numFmtId="168" fontId="0" fillId="0" borderId="29" xfId="1" applyNumberFormat="1" applyFont="1" applyBorder="1" applyAlignment="1">
      <alignment horizontal="center" vertical="center"/>
    </xf>
    <xf numFmtId="168" fontId="0" fillId="0" borderId="34" xfId="1" applyNumberFormat="1" applyFont="1" applyBorder="1" applyAlignment="1">
      <alignment horizontal="center" vertical="center"/>
    </xf>
    <xf numFmtId="169" fontId="0" fillId="0" borderId="30" xfId="2" applyNumberFormat="1" applyFont="1" applyBorder="1" applyAlignment="1">
      <alignment horizontal="center" vertical="center"/>
    </xf>
    <xf numFmtId="169" fontId="0" fillId="0" borderId="31" xfId="2" applyNumberFormat="1" applyFont="1" applyBorder="1" applyAlignment="1">
      <alignment horizontal="center" vertical="center"/>
    </xf>
    <xf numFmtId="169" fontId="0" fillId="0" borderId="32" xfId="2" applyNumberFormat="1" applyFont="1" applyBorder="1" applyAlignment="1">
      <alignment horizontal="center" vertical="center"/>
    </xf>
    <xf numFmtId="169" fontId="0" fillId="0" borderId="33" xfId="2" applyNumberFormat="1" applyFont="1" applyBorder="1" applyAlignment="1">
      <alignment horizontal="center" vertical="center"/>
    </xf>
    <xf numFmtId="168" fontId="29" fillId="14" borderId="23" xfId="0" applyNumberFormat="1" applyFont="1" applyFill="1" applyBorder="1"/>
    <xf numFmtId="0" fontId="31" fillId="14" borderId="27" xfId="0" applyFont="1" applyFill="1" applyBorder="1" applyAlignment="1">
      <alignment wrapText="1"/>
    </xf>
    <xf numFmtId="0" fontId="31" fillId="14" borderId="35" xfId="0" applyFont="1" applyFill="1" applyBorder="1" applyAlignment="1">
      <alignment wrapText="1"/>
    </xf>
    <xf numFmtId="0" fontId="31" fillId="14" borderId="28" xfId="0" applyFont="1" applyFill="1" applyBorder="1" applyAlignment="1">
      <alignment wrapText="1"/>
    </xf>
    <xf numFmtId="10" fontId="0" fillId="0" borderId="0" xfId="0" applyNumberFormat="1"/>
    <xf numFmtId="0" fontId="29" fillId="14" borderId="24" xfId="0" applyFont="1" applyFill="1" applyBorder="1" applyAlignment="1">
      <alignment horizontal="left"/>
    </xf>
    <xf numFmtId="9" fontId="40" fillId="20" borderId="21" xfId="0" applyNumberFormat="1" applyFont="1" applyFill="1" applyBorder="1" applyAlignment="1">
      <alignment horizontal="center"/>
    </xf>
    <xf numFmtId="9" fontId="31" fillId="21" borderId="21" xfId="0" applyNumberFormat="1" applyFont="1" applyFill="1" applyBorder="1"/>
    <xf numFmtId="9" fontId="31" fillId="22" borderId="0" xfId="0" applyNumberFormat="1" applyFont="1" applyFill="1"/>
    <xf numFmtId="10" fontId="4" fillId="5" borderId="48" xfId="2" applyNumberFormat="1" applyFont="1" applyFill="1" applyBorder="1" applyAlignment="1">
      <alignment horizontal="center"/>
    </xf>
    <xf numFmtId="9" fontId="0" fillId="0" borderId="82" xfId="0" applyNumberFormat="1" applyBorder="1" applyAlignment="1">
      <alignment horizontal="center" vertical="center"/>
    </xf>
    <xf numFmtId="10" fontId="0" fillId="0" borderId="68" xfId="2" applyNumberFormat="1" applyFont="1" applyBorder="1" applyAlignment="1">
      <alignment horizontal="center" vertical="center"/>
    </xf>
    <xf numFmtId="3" fontId="19" fillId="0" borderId="20" xfId="0" applyNumberFormat="1" applyFont="1" applyBorder="1" applyAlignment="1">
      <alignment horizontal="right"/>
    </xf>
    <xf numFmtId="3" fontId="30" fillId="0" borderId="25" xfId="0" applyNumberFormat="1" applyFont="1" applyBorder="1"/>
    <xf numFmtId="169" fontId="0" fillId="0" borderId="44" xfId="2" applyNumberFormat="1" applyFont="1" applyBorder="1"/>
    <xf numFmtId="168" fontId="0" fillId="0" borderId="25" xfId="1" applyNumberFormat="1" applyFont="1" applyBorder="1"/>
    <xf numFmtId="3" fontId="1" fillId="2" borderId="25" xfId="0" applyNumberFormat="1" applyFont="1" applyFill="1" applyBorder="1" applyAlignment="1">
      <alignment horizontal="left"/>
    </xf>
    <xf numFmtId="0" fontId="10" fillId="6" borderId="19" xfId="0" applyFont="1" applyFill="1" applyBorder="1" applyAlignment="1">
      <alignment horizontal="center" vertical="center" wrapText="1"/>
    </xf>
    <xf numFmtId="9" fontId="25" fillId="0" borderId="82" xfId="0" applyNumberFormat="1" applyFont="1" applyBorder="1" applyAlignment="1">
      <alignment horizontal="center" vertical="center"/>
    </xf>
    <xf numFmtId="0" fontId="10" fillId="0" borderId="81" xfId="0" applyFont="1" applyBorder="1" applyAlignment="1">
      <alignment horizontal="center" vertical="center" wrapText="1"/>
    </xf>
    <xf numFmtId="0" fontId="10" fillId="17" borderId="71" xfId="0" applyFont="1" applyFill="1" applyBorder="1" applyAlignment="1">
      <alignment horizontal="center" vertical="center" wrapText="1"/>
    </xf>
    <xf numFmtId="169" fontId="10" fillId="17" borderId="47" xfId="2" applyNumberFormat="1" applyFont="1" applyFill="1" applyBorder="1" applyAlignment="1">
      <alignment horizontal="center" vertical="center" wrapText="1"/>
    </xf>
    <xf numFmtId="0" fontId="10" fillId="19" borderId="47" xfId="0" applyFont="1" applyFill="1" applyBorder="1" applyAlignment="1">
      <alignment horizontal="center" vertical="center" wrapText="1"/>
    </xf>
    <xf numFmtId="0" fontId="10" fillId="17" borderId="47" xfId="0" applyFont="1" applyFill="1" applyBorder="1" applyAlignment="1">
      <alignment horizontal="center" vertical="center" wrapText="1"/>
    </xf>
    <xf numFmtId="0" fontId="10" fillId="19" borderId="36" xfId="0" applyFont="1" applyFill="1" applyBorder="1" applyAlignment="1">
      <alignment horizontal="center" vertical="center" wrapText="1"/>
    </xf>
    <xf numFmtId="168" fontId="7" fillId="3" borderId="17" xfId="1" applyNumberFormat="1" applyFont="1" applyFill="1" applyBorder="1" applyAlignment="1">
      <alignment horizontal="left"/>
    </xf>
    <xf numFmtId="168" fontId="6" fillId="0" borderId="18" xfId="1" applyNumberFormat="1" applyFont="1" applyBorder="1" applyAlignment="1">
      <alignment horizontal="left"/>
    </xf>
    <xf numFmtId="168" fontId="6" fillId="0" borderId="19" xfId="1" applyNumberFormat="1" applyFont="1" applyBorder="1" applyAlignment="1">
      <alignment horizontal="left"/>
    </xf>
    <xf numFmtId="0" fontId="0" fillId="0" borderId="18" xfId="0" applyBorder="1" applyAlignment="1">
      <alignment horizontal="center" vertical="center"/>
    </xf>
    <xf numFmtId="168" fontId="6" fillId="0" borderId="36" xfId="1" applyNumberFormat="1" applyFont="1" applyBorder="1" applyAlignment="1">
      <alignment horizontal="center" vertical="center"/>
    </xf>
    <xf numFmtId="168" fontId="6" fillId="0" borderId="39" xfId="1" applyNumberFormat="1" applyFont="1" applyBorder="1" applyAlignment="1">
      <alignment horizontal="center" vertical="center"/>
    </xf>
    <xf numFmtId="168" fontId="6" fillId="0" borderId="41" xfId="1" applyNumberFormat="1" applyFont="1" applyBorder="1" applyAlignment="1">
      <alignment horizontal="center" vertical="center"/>
    </xf>
    <xf numFmtId="169" fontId="6" fillId="0" borderId="36" xfId="2" applyNumberFormat="1" applyFont="1" applyBorder="1" applyAlignment="1">
      <alignment horizontal="center" vertical="center"/>
    </xf>
    <xf numFmtId="169" fontId="6" fillId="0" borderId="39" xfId="2" applyNumberFormat="1" applyFont="1" applyBorder="1" applyAlignment="1">
      <alignment horizontal="center" vertical="center"/>
    </xf>
    <xf numFmtId="169" fontId="6" fillId="0" borderId="41" xfId="2" applyNumberFormat="1" applyFont="1" applyBorder="1" applyAlignment="1">
      <alignment horizontal="center" vertical="center"/>
    </xf>
    <xf numFmtId="169" fontId="6" fillId="0" borderId="37" xfId="2" applyNumberFormat="1" applyFont="1" applyBorder="1" applyAlignment="1">
      <alignment horizontal="center" vertical="center"/>
    </xf>
    <xf numFmtId="169" fontId="6" fillId="0" borderId="38" xfId="2" applyNumberFormat="1" applyFont="1" applyBorder="1" applyAlignment="1">
      <alignment horizontal="center" vertical="center"/>
    </xf>
    <xf numFmtId="169" fontId="6" fillId="0" borderId="42" xfId="2" applyNumberFormat="1" applyFont="1" applyBorder="1" applyAlignment="1">
      <alignment horizontal="center" vertical="center"/>
    </xf>
    <xf numFmtId="169" fontId="6" fillId="0" borderId="43" xfId="2" applyNumberFormat="1" applyFont="1" applyBorder="1" applyAlignment="1">
      <alignment horizontal="center" vertical="center"/>
    </xf>
    <xf numFmtId="0" fontId="30" fillId="0" borderId="0" xfId="0" applyFont="1"/>
    <xf numFmtId="9" fontId="25" fillId="0" borderId="0" xfId="0" applyNumberFormat="1" applyFont="1"/>
    <xf numFmtId="9" fontId="6" fillId="0" borderId="23" xfId="0" applyNumberFormat="1" applyFont="1" applyBorder="1"/>
    <xf numFmtId="9" fontId="0" fillId="0" borderId="24" xfId="0" applyNumberFormat="1" applyBorder="1" applyAlignment="1">
      <alignment horizontal="center" vertical="center"/>
    </xf>
    <xf numFmtId="9" fontId="18" fillId="0" borderId="69" xfId="0" applyNumberFormat="1" applyFont="1" applyBorder="1" applyAlignment="1">
      <alignment horizontal="center" vertical="center"/>
    </xf>
    <xf numFmtId="3" fontId="0" fillId="0" borderId="30" xfId="0" applyNumberFormat="1" applyBorder="1" applyAlignment="1">
      <alignment horizontal="center" vertical="center"/>
    </xf>
    <xf numFmtId="169" fontId="0" fillId="0" borderId="44" xfId="0" applyNumberFormat="1" applyBorder="1" applyAlignment="1">
      <alignment horizontal="center" vertical="center"/>
    </xf>
    <xf numFmtId="168" fontId="0" fillId="0" borderId="25" xfId="1" applyNumberFormat="1" applyFont="1" applyBorder="1" applyAlignment="1">
      <alignment horizontal="center" vertical="center"/>
    </xf>
    <xf numFmtId="10" fontId="0" fillId="0" borderId="25" xfId="2" applyNumberFormat="1" applyFont="1" applyBorder="1" applyAlignment="1">
      <alignment horizontal="center" vertical="center"/>
    </xf>
    <xf numFmtId="169" fontId="0" fillId="0" borderId="25" xfId="2" applyNumberFormat="1" applyFont="1" applyBorder="1" applyAlignment="1">
      <alignment horizontal="center" vertical="center"/>
    </xf>
    <xf numFmtId="9" fontId="0" fillId="0" borderId="25" xfId="2" applyFont="1" applyBorder="1" applyAlignment="1">
      <alignment horizontal="center" vertical="center"/>
    </xf>
    <xf numFmtId="9" fontId="18" fillId="0" borderId="25" xfId="0" applyNumberFormat="1" applyFont="1" applyBorder="1" applyAlignment="1">
      <alignment horizontal="center" vertical="center"/>
    </xf>
    <xf numFmtId="169" fontId="0" fillId="0" borderId="44" xfId="2" applyNumberFormat="1" applyFont="1" applyBorder="1" applyAlignment="1">
      <alignment horizontal="center" vertical="center"/>
    </xf>
    <xf numFmtId="3" fontId="25" fillId="0" borderId="30" xfId="0" applyNumberFormat="1" applyFont="1" applyBorder="1" applyAlignment="1">
      <alignment horizontal="center" vertical="center"/>
    </xf>
    <xf numFmtId="169" fontId="25" fillId="0" borderId="44" xfId="0" applyNumberFormat="1" applyFont="1" applyBorder="1" applyAlignment="1">
      <alignment horizontal="center" vertical="center"/>
    </xf>
    <xf numFmtId="9" fontId="18" fillId="0" borderId="50" xfId="0" applyNumberFormat="1" applyFont="1" applyBorder="1" applyAlignment="1">
      <alignment horizontal="center" vertical="center"/>
    </xf>
    <xf numFmtId="9" fontId="25" fillId="0" borderId="31" xfId="2" applyFont="1" applyBorder="1" applyAlignment="1">
      <alignment horizontal="center" vertical="center"/>
    </xf>
    <xf numFmtId="0" fontId="25" fillId="0" borderId="0" xfId="0" applyFont="1"/>
    <xf numFmtId="3" fontId="0" fillId="0" borderId="0" xfId="0" applyNumberFormat="1" applyAlignment="1">
      <alignment horizontal="center" vertical="center" wrapText="1"/>
    </xf>
    <xf numFmtId="3" fontId="29" fillId="9" borderId="0" xfId="0" applyNumberFormat="1" applyFont="1" applyFill="1" applyAlignment="1">
      <alignment horizontal="center" vertical="center" wrapText="1"/>
    </xf>
    <xf numFmtId="168" fontId="29" fillId="9" borderId="0" xfId="0" applyNumberFormat="1" applyFont="1" applyFill="1"/>
    <xf numFmtId="10" fontId="29" fillId="9" borderId="0" xfId="0" applyNumberFormat="1" applyFont="1" applyFill="1"/>
    <xf numFmtId="169" fontId="10" fillId="0" borderId="31" xfId="2" applyNumberFormat="1" applyFont="1" applyBorder="1" applyAlignment="1">
      <alignment horizontal="center" vertical="center"/>
    </xf>
    <xf numFmtId="0" fontId="30" fillId="0" borderId="4" xfId="0" applyFont="1" applyBorder="1"/>
    <xf numFmtId="9" fontId="18" fillId="0" borderId="29" xfId="0" applyNumberFormat="1" applyFont="1" applyBorder="1" applyAlignment="1">
      <alignment horizontal="center" vertical="center"/>
    </xf>
    <xf numFmtId="9" fontId="18" fillId="0" borderId="34" xfId="0" applyNumberFormat="1" applyFont="1" applyBorder="1" applyAlignment="1">
      <alignment horizontal="center" vertical="center"/>
    </xf>
    <xf numFmtId="9" fontId="18" fillId="0" borderId="30" xfId="0" applyNumberFormat="1" applyFont="1" applyBorder="1" applyAlignment="1">
      <alignment horizontal="center" vertical="center"/>
    </xf>
    <xf numFmtId="9" fontId="18" fillId="0" borderId="31" xfId="0" applyNumberFormat="1" applyFont="1" applyBorder="1" applyAlignment="1">
      <alignment horizontal="center" vertical="center"/>
    </xf>
    <xf numFmtId="9" fontId="18" fillId="0" borderId="32" xfId="0" applyNumberFormat="1" applyFont="1" applyBorder="1" applyAlignment="1">
      <alignment horizontal="center" vertical="center"/>
    </xf>
    <xf numFmtId="9" fontId="18" fillId="0" borderId="33" xfId="0" applyNumberFormat="1" applyFont="1" applyBorder="1" applyAlignment="1">
      <alignment horizontal="center" vertical="center"/>
    </xf>
    <xf numFmtId="9" fontId="6" fillId="0" borderId="83" xfId="0" applyNumberFormat="1" applyFont="1" applyBorder="1" applyAlignment="1">
      <alignment horizontal="center" vertical="center"/>
    </xf>
    <xf numFmtId="9" fontId="25" fillId="0" borderId="83" xfId="0" applyNumberFormat="1" applyFont="1" applyBorder="1" applyAlignment="1">
      <alignment horizontal="center" vertical="center"/>
    </xf>
    <xf numFmtId="9" fontId="6" fillId="0" borderId="84" xfId="0" applyNumberFormat="1" applyFont="1" applyBorder="1" applyAlignment="1">
      <alignment horizontal="center" vertical="center"/>
    </xf>
    <xf numFmtId="0" fontId="10" fillId="19" borderId="66" xfId="0" applyFont="1" applyFill="1" applyBorder="1" applyAlignment="1">
      <alignment horizontal="center" vertical="center" wrapText="1"/>
    </xf>
    <xf numFmtId="0" fontId="4" fillId="0" borderId="67" xfId="0" applyFont="1" applyBorder="1" applyAlignment="1">
      <alignment horizontal="left" vertical="center" wrapText="1"/>
    </xf>
    <xf numFmtId="0" fontId="4" fillId="0" borderId="68" xfId="0" applyFont="1" applyBorder="1" applyAlignment="1">
      <alignment horizontal="left" vertical="center" wrapText="1"/>
    </xf>
    <xf numFmtId="0" fontId="21" fillId="14" borderId="0" xfId="0" applyFont="1" applyFill="1" applyAlignment="1">
      <alignment horizontal="center" vertical="center"/>
    </xf>
    <xf numFmtId="9" fontId="25" fillId="0" borderId="63" xfId="0" applyNumberFormat="1" applyFont="1" applyBorder="1" applyAlignment="1">
      <alignment horizontal="center" vertical="center"/>
    </xf>
    <xf numFmtId="0" fontId="41" fillId="5" borderId="17" xfId="0" applyFont="1" applyFill="1" applyBorder="1"/>
    <xf numFmtId="0" fontId="41" fillId="5" borderId="18" xfId="0" applyFont="1" applyFill="1" applyBorder="1"/>
    <xf numFmtId="0" fontId="41" fillId="5" borderId="20" xfId="0" applyFont="1" applyFill="1" applyBorder="1"/>
    <xf numFmtId="0" fontId="41" fillId="5" borderId="0" xfId="0" applyFont="1" applyFill="1"/>
    <xf numFmtId="0" fontId="41" fillId="5" borderId="22" xfId="0" applyFont="1" applyFill="1" applyBorder="1"/>
    <xf numFmtId="0" fontId="41" fillId="5" borderId="23" xfId="0" applyFont="1" applyFill="1" applyBorder="1"/>
    <xf numFmtId="0" fontId="41" fillId="5" borderId="19" xfId="0" applyFont="1" applyFill="1" applyBorder="1"/>
    <xf numFmtId="0" fontId="41" fillId="5" borderId="21" xfId="0" applyFont="1" applyFill="1" applyBorder="1"/>
    <xf numFmtId="0" fontId="41" fillId="5" borderId="24" xfId="0" applyFont="1" applyFill="1" applyBorder="1"/>
    <xf numFmtId="3" fontId="11" fillId="2" borderId="30" xfId="0" applyNumberFormat="1" applyFont="1" applyFill="1" applyBorder="1" applyAlignment="1">
      <alignment horizontal="center"/>
    </xf>
    <xf numFmtId="3" fontId="11" fillId="2" borderId="32" xfId="0" applyNumberFormat="1" applyFont="1" applyFill="1" applyBorder="1" applyAlignment="1">
      <alignment horizontal="center"/>
    </xf>
    <xf numFmtId="9" fontId="10" fillId="23" borderId="16" xfId="2" applyFont="1" applyFill="1" applyBorder="1" applyAlignment="1">
      <alignment horizontal="center" vertical="center"/>
    </xf>
    <xf numFmtId="9" fontId="10" fillId="5" borderId="16" xfId="2" applyFont="1" applyFill="1" applyBorder="1" applyAlignment="1">
      <alignment horizontal="center" vertical="center"/>
    </xf>
    <xf numFmtId="171" fontId="10" fillId="5" borderId="16" xfId="2" applyNumberFormat="1" applyFont="1" applyFill="1" applyBorder="1"/>
    <xf numFmtId="171" fontId="10" fillId="23" borderId="16" xfId="2" applyNumberFormat="1" applyFont="1" applyFill="1" applyBorder="1"/>
    <xf numFmtId="169" fontId="42" fillId="23" borderId="16" xfId="2" applyNumberFormat="1" applyFont="1" applyFill="1" applyBorder="1" applyAlignment="1">
      <alignment horizontal="center" vertical="center"/>
    </xf>
    <xf numFmtId="9" fontId="10" fillId="0" borderId="49" xfId="2" applyFont="1" applyBorder="1"/>
    <xf numFmtId="169" fontId="16" fillId="0" borderId="25" xfId="2" applyNumberFormat="1" applyFont="1" applyBorder="1" applyAlignment="1">
      <alignment horizontal="left" vertical="center" wrapText="1"/>
    </xf>
    <xf numFmtId="169" fontId="12" fillId="3" borderId="25" xfId="2" applyNumberFormat="1" applyFont="1" applyFill="1" applyBorder="1" applyAlignment="1">
      <alignment horizontal="center"/>
    </xf>
    <xf numFmtId="169" fontId="43" fillId="20" borderId="25" xfId="2" applyNumberFormat="1" applyFont="1" applyFill="1" applyBorder="1" applyAlignment="1">
      <alignment horizontal="center"/>
    </xf>
    <xf numFmtId="169" fontId="12" fillId="3" borderId="50" xfId="2" applyNumberFormat="1" applyFont="1" applyFill="1" applyBorder="1" applyAlignment="1">
      <alignment horizontal="center"/>
    </xf>
    <xf numFmtId="9" fontId="11" fillId="2" borderId="25" xfId="2" applyFont="1" applyFill="1" applyBorder="1" applyAlignment="1">
      <alignment horizontal="center"/>
    </xf>
    <xf numFmtId="9" fontId="11" fillId="2" borderId="50" xfId="2" applyFont="1" applyFill="1" applyBorder="1" applyAlignment="1">
      <alignment horizontal="center"/>
    </xf>
    <xf numFmtId="169" fontId="11" fillId="2" borderId="25" xfId="2" applyNumberFormat="1" applyFont="1" applyFill="1" applyBorder="1" applyAlignment="1">
      <alignment horizontal="center"/>
    </xf>
    <xf numFmtId="169" fontId="11" fillId="2" borderId="50" xfId="2" applyNumberFormat="1" applyFont="1" applyFill="1" applyBorder="1" applyAlignment="1">
      <alignment horizontal="center"/>
    </xf>
    <xf numFmtId="169" fontId="44" fillId="24" borderId="25" xfId="2" applyNumberFormat="1" applyFont="1" applyFill="1" applyBorder="1" applyAlignment="1">
      <alignment horizontal="center"/>
    </xf>
    <xf numFmtId="9" fontId="16" fillId="0" borderId="44" xfId="2" applyFont="1" applyBorder="1" applyAlignment="1">
      <alignment horizontal="left" vertical="center" wrapText="1"/>
    </xf>
    <xf numFmtId="9" fontId="11" fillId="2" borderId="44" xfId="2" applyFont="1" applyFill="1" applyBorder="1" applyAlignment="1">
      <alignment horizontal="center"/>
    </xf>
    <xf numFmtId="9" fontId="11" fillId="2" borderId="75" xfId="2" applyFont="1" applyFill="1" applyBorder="1" applyAlignment="1">
      <alignment horizontal="center"/>
    </xf>
    <xf numFmtId="3" fontId="16" fillId="0" borderId="45" xfId="0" applyNumberFormat="1" applyFont="1" applyBorder="1" applyAlignment="1">
      <alignment horizontal="left" vertical="center" wrapText="1"/>
    </xf>
    <xf numFmtId="166" fontId="10" fillId="0" borderId="37" xfId="0" applyNumberFormat="1" applyFont="1" applyBorder="1"/>
    <xf numFmtId="170" fontId="10" fillId="0" borderId="37" xfId="0" applyNumberFormat="1" applyFont="1" applyBorder="1"/>
    <xf numFmtId="169" fontId="10" fillId="0" borderId="37" xfId="2" applyNumberFormat="1" applyFont="1" applyBorder="1"/>
    <xf numFmtId="9" fontId="10" fillId="0" borderId="37" xfId="2" applyFont="1" applyBorder="1"/>
    <xf numFmtId="9" fontId="11" fillId="2" borderId="31" xfId="2" applyFont="1" applyFill="1" applyBorder="1" applyAlignment="1">
      <alignment horizontal="center"/>
    </xf>
    <xf numFmtId="9" fontId="11" fillId="2" borderId="33" xfId="2" applyFont="1" applyFill="1" applyBorder="1" applyAlignment="1">
      <alignment horizontal="center"/>
    </xf>
    <xf numFmtId="169" fontId="45" fillId="25" borderId="25" xfId="2" applyNumberFormat="1" applyFont="1" applyFill="1" applyBorder="1" applyAlignment="1">
      <alignment horizontal="center"/>
    </xf>
    <xf numFmtId="9" fontId="44" fillId="25" borderId="25" xfId="2" applyFont="1" applyFill="1" applyBorder="1" applyAlignment="1">
      <alignment horizontal="center"/>
    </xf>
    <xf numFmtId="169" fontId="45" fillId="25" borderId="44" xfId="2" applyNumberFormat="1" applyFont="1" applyFill="1" applyBorder="1" applyAlignment="1">
      <alignment horizontal="center"/>
    </xf>
    <xf numFmtId="3" fontId="16" fillId="0" borderId="29" xfId="0" applyNumberFormat="1" applyFont="1" applyBorder="1" applyAlignment="1">
      <alignment horizontal="left" vertical="center" wrapText="1"/>
    </xf>
    <xf numFmtId="3" fontId="16" fillId="0" borderId="69" xfId="0" applyNumberFormat="1" applyFont="1" applyBorder="1" applyAlignment="1">
      <alignment horizontal="left" vertical="center" wrapText="1"/>
    </xf>
    <xf numFmtId="169" fontId="16" fillId="0" borderId="69" xfId="2" applyNumberFormat="1" applyFont="1" applyBorder="1" applyAlignment="1">
      <alignment horizontal="left" vertical="center" wrapText="1"/>
    </xf>
    <xf numFmtId="9" fontId="16" fillId="0" borderId="69" xfId="2" applyFont="1" applyBorder="1" applyAlignment="1">
      <alignment horizontal="left" vertical="center" wrapText="1"/>
    </xf>
    <xf numFmtId="9" fontId="16" fillId="0" borderId="34" xfId="2" applyFont="1" applyBorder="1" applyAlignment="1">
      <alignment horizontal="left" vertical="center" wrapText="1"/>
    </xf>
    <xf numFmtId="9" fontId="44" fillId="25" borderId="31" xfId="2" applyFont="1" applyFill="1" applyBorder="1" applyAlignment="1">
      <alignment horizontal="center"/>
    </xf>
    <xf numFmtId="9" fontId="11" fillId="27" borderId="77" xfId="2" applyFont="1" applyFill="1" applyBorder="1" applyAlignment="1">
      <alignment horizontal="center"/>
    </xf>
    <xf numFmtId="9" fontId="11" fillId="26" borderId="77" xfId="2" applyFont="1" applyFill="1" applyBorder="1" applyAlignment="1">
      <alignment horizontal="center"/>
    </xf>
    <xf numFmtId="9" fontId="11" fillId="26" borderId="78" xfId="2" applyFont="1" applyFill="1" applyBorder="1" applyAlignment="1">
      <alignment horizontal="center"/>
    </xf>
    <xf numFmtId="3" fontId="16" fillId="0" borderId="25" xfId="0" applyNumberFormat="1" applyFont="1" applyBorder="1" applyAlignment="1">
      <alignment horizontal="center" vertical="center" wrapText="1"/>
    </xf>
    <xf numFmtId="2" fontId="10" fillId="0" borderId="37" xfId="0" applyNumberFormat="1" applyFont="1" applyBorder="1" applyAlignment="1">
      <alignment horizontal="center" vertical="center"/>
    </xf>
    <xf numFmtId="164" fontId="11" fillId="2" borderId="25" xfId="0" applyNumberFormat="1" applyFont="1" applyFill="1" applyBorder="1" applyAlignment="1">
      <alignment horizontal="center" vertical="center"/>
    </xf>
    <xf numFmtId="164" fontId="11" fillId="2" borderId="50" xfId="0" applyNumberFormat="1" applyFont="1" applyFill="1" applyBorder="1" applyAlignment="1">
      <alignment horizontal="center" vertical="center"/>
    </xf>
    <xf numFmtId="3" fontId="16" fillId="0" borderId="70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 vertical="top" wrapText="1"/>
    </xf>
    <xf numFmtId="10" fontId="0" fillId="28" borderId="25" xfId="2" applyNumberFormat="1" applyFont="1" applyFill="1" applyBorder="1" applyAlignment="1">
      <alignment horizontal="center" vertical="top" wrapText="1"/>
    </xf>
    <xf numFmtId="0" fontId="0" fillId="28" borderId="25" xfId="0" applyFill="1" applyBorder="1" applyAlignment="1">
      <alignment horizontal="center" vertical="center" wrapText="1"/>
    </xf>
    <xf numFmtId="9" fontId="0" fillId="28" borderId="25" xfId="2" applyFont="1" applyFill="1" applyBorder="1" applyAlignment="1">
      <alignment horizontal="center" vertical="center" wrapText="1"/>
    </xf>
    <xf numFmtId="9" fontId="44" fillId="25" borderId="50" xfId="2" applyFont="1" applyFill="1" applyBorder="1" applyAlignment="1">
      <alignment horizontal="center"/>
    </xf>
    <xf numFmtId="10" fontId="10" fillId="5" borderId="68" xfId="2" applyNumberFormat="1" applyFont="1" applyFill="1" applyBorder="1" applyAlignment="1">
      <alignment horizontal="center" vertical="center"/>
    </xf>
    <xf numFmtId="168" fontId="11" fillId="2" borderId="45" xfId="1" applyNumberFormat="1" applyFont="1" applyFill="1" applyBorder="1" applyAlignment="1">
      <alignment horizontal="center"/>
    </xf>
    <xf numFmtId="167" fontId="11" fillId="2" borderId="58" xfId="0" applyNumberFormat="1" applyFont="1" applyFill="1" applyBorder="1" applyAlignment="1">
      <alignment horizontal="center"/>
    </xf>
    <xf numFmtId="164" fontId="11" fillId="2" borderId="25" xfId="0" applyNumberFormat="1" applyFont="1" applyFill="1" applyBorder="1" applyAlignment="1">
      <alignment horizontal="center"/>
    </xf>
    <xf numFmtId="168" fontId="11" fillId="2" borderId="25" xfId="1" applyNumberFormat="1" applyFont="1" applyFill="1" applyBorder="1" applyAlignment="1">
      <alignment horizontal="center"/>
    </xf>
    <xf numFmtId="9" fontId="10" fillId="0" borderId="0" xfId="2" applyFont="1"/>
    <xf numFmtId="9" fontId="16" fillId="0" borderId="76" xfId="2" applyFont="1" applyBorder="1" applyAlignment="1">
      <alignment horizontal="left" vertical="center" wrapText="1"/>
    </xf>
    <xf numFmtId="3" fontId="11" fillId="2" borderId="77" xfId="0" applyNumberFormat="1" applyFont="1" applyFill="1" applyBorder="1" applyAlignment="1">
      <alignment horizontal="center"/>
    </xf>
    <xf numFmtId="3" fontId="11" fillId="2" borderId="78" xfId="0" applyNumberFormat="1" applyFont="1" applyFill="1" applyBorder="1" applyAlignment="1">
      <alignment horizontal="center"/>
    </xf>
    <xf numFmtId="169" fontId="10" fillId="0" borderId="0" xfId="2" applyNumberFormat="1" applyFont="1"/>
    <xf numFmtId="0" fontId="46" fillId="0" borderId="0" xfId="0" applyFont="1" applyAlignment="1">
      <alignment horizontal="left" vertical="center"/>
    </xf>
    <xf numFmtId="0" fontId="31" fillId="0" borderId="0" xfId="0" applyFont="1" applyAlignment="1">
      <alignment horizontal="right" vertical="center"/>
    </xf>
    <xf numFmtId="9" fontId="0" fillId="0" borderId="30" xfId="2" applyFont="1" applyBorder="1"/>
    <xf numFmtId="9" fontId="0" fillId="0" borderId="32" xfId="2" applyFont="1" applyBorder="1"/>
    <xf numFmtId="9" fontId="0" fillId="0" borderId="50" xfId="2" applyFont="1" applyBorder="1"/>
    <xf numFmtId="0" fontId="0" fillId="0" borderId="25" xfId="0" applyBorder="1"/>
    <xf numFmtId="169" fontId="9" fillId="0" borderId="25" xfId="2" applyNumberFormat="1" applyFont="1" applyBorder="1" applyAlignment="1">
      <alignment horizontal="center" vertical="center"/>
    </xf>
    <xf numFmtId="9" fontId="9" fillId="0" borderId="25" xfId="2" applyFont="1" applyBorder="1" applyAlignment="1">
      <alignment horizontal="center" vertical="center"/>
    </xf>
    <xf numFmtId="168" fontId="9" fillId="0" borderId="25" xfId="1" applyNumberFormat="1" applyFont="1" applyBorder="1" applyAlignment="1">
      <alignment horizontal="center" vertical="center"/>
    </xf>
    <xf numFmtId="169" fontId="0" fillId="0" borderId="0" xfId="2" applyNumberFormat="1" applyFont="1" applyBorder="1"/>
    <xf numFmtId="0" fontId="0" fillId="0" borderId="2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9" fontId="17" fillId="19" borderId="19" xfId="2" applyFont="1" applyFill="1" applyBorder="1" applyAlignment="1">
      <alignment horizontal="left" vertical="center" wrapText="1"/>
    </xf>
    <xf numFmtId="169" fontId="17" fillId="19" borderId="17" xfId="2" applyNumberFormat="1" applyFont="1" applyFill="1" applyBorder="1" applyAlignment="1">
      <alignment horizontal="left" vertical="center"/>
    </xf>
    <xf numFmtId="9" fontId="0" fillId="0" borderId="69" xfId="2" applyFont="1" applyBorder="1"/>
    <xf numFmtId="0" fontId="0" fillId="0" borderId="50" xfId="0" applyBorder="1"/>
    <xf numFmtId="0" fontId="0" fillId="0" borderId="34" xfId="0" applyBorder="1" applyAlignment="1">
      <alignment horizontal="center" vertical="center"/>
    </xf>
    <xf numFmtId="0" fontId="0" fillId="0" borderId="30" xfId="0" applyBorder="1"/>
    <xf numFmtId="0" fontId="0" fillId="0" borderId="32" xfId="0" applyBorder="1"/>
    <xf numFmtId="0" fontId="0" fillId="0" borderId="44" xfId="0" applyBorder="1"/>
    <xf numFmtId="0" fontId="0" fillId="0" borderId="75" xfId="0" applyBorder="1"/>
    <xf numFmtId="0" fontId="0" fillId="0" borderId="86" xfId="0" applyBorder="1"/>
    <xf numFmtId="0" fontId="0" fillId="0" borderId="87" xfId="0" applyBorder="1"/>
    <xf numFmtId="0" fontId="17" fillId="0" borderId="35" xfId="0" applyFont="1" applyBorder="1" applyAlignment="1">
      <alignment horizontal="center" vertical="center"/>
    </xf>
    <xf numFmtId="168" fontId="0" fillId="0" borderId="30" xfId="2" applyNumberFormat="1" applyFont="1" applyBorder="1"/>
    <xf numFmtId="0" fontId="29" fillId="14" borderId="43" xfId="0" applyFont="1" applyFill="1" applyBorder="1" applyAlignment="1">
      <alignment horizontal="left" vertical="center"/>
    </xf>
    <xf numFmtId="0" fontId="29" fillId="14" borderId="26" xfId="0" applyFont="1" applyFill="1" applyBorder="1" applyAlignment="1">
      <alignment horizontal="center" vertical="center"/>
    </xf>
    <xf numFmtId="0" fontId="0" fillId="0" borderId="46" xfId="0" applyBorder="1" applyAlignment="1">
      <alignment horizontal="left" vertical="center"/>
    </xf>
    <xf numFmtId="174" fontId="0" fillId="0" borderId="25" xfId="0" applyNumberFormat="1" applyBorder="1" applyAlignment="1">
      <alignment horizontal="center" vertical="center"/>
    </xf>
    <xf numFmtId="0" fontId="29" fillId="14" borderId="41" xfId="0" applyFont="1" applyFill="1" applyBorder="1" applyAlignment="1">
      <alignment horizontal="left" vertical="top"/>
    </xf>
    <xf numFmtId="0" fontId="10" fillId="0" borderId="35" xfId="0" applyFont="1" applyBorder="1" applyAlignment="1">
      <alignment horizontal="left" vertical="center" wrapText="1"/>
    </xf>
    <xf numFmtId="9" fontId="9" fillId="0" borderId="0" xfId="0" applyNumberFormat="1" applyFont="1" applyAlignment="1">
      <alignment horizontal="left" vertical="center" wrapText="1"/>
    </xf>
    <xf numFmtId="9" fontId="9" fillId="5" borderId="35" xfId="0" applyNumberFormat="1" applyFont="1" applyFill="1" applyBorder="1" applyAlignment="1">
      <alignment horizontal="left" vertical="center" wrapText="1"/>
    </xf>
    <xf numFmtId="9" fontId="9" fillId="0" borderId="23" xfId="0" applyNumberFormat="1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9" fillId="29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9" fontId="0" fillId="0" borderId="29" xfId="2" applyFont="1" applyBorder="1"/>
    <xf numFmtId="0" fontId="10" fillId="7" borderId="27" xfId="0" applyFont="1" applyFill="1" applyBorder="1"/>
    <xf numFmtId="0" fontId="10" fillId="7" borderId="35" xfId="0" applyFont="1" applyFill="1" applyBorder="1"/>
    <xf numFmtId="0" fontId="10" fillId="7" borderId="28" xfId="0" applyFont="1" applyFill="1" applyBorder="1"/>
    <xf numFmtId="0" fontId="9" fillId="0" borderId="0" xfId="0" applyFont="1" applyAlignment="1">
      <alignment vertical="center"/>
    </xf>
    <xf numFmtId="173" fontId="0" fillId="0" borderId="0" xfId="1" applyNumberFormat="1" applyFont="1" applyBorder="1" applyAlignment="1">
      <alignment horizontal="center" vertical="center"/>
    </xf>
    <xf numFmtId="164" fontId="10" fillId="10" borderId="16" xfId="0" applyNumberFormat="1" applyFont="1" applyFill="1" applyBorder="1" applyAlignment="1">
      <alignment horizontal="left" vertical="center"/>
    </xf>
    <xf numFmtId="0" fontId="10" fillId="15" borderId="27" xfId="0" applyFont="1" applyFill="1" applyBorder="1" applyAlignment="1">
      <alignment horizontal="center" vertical="center"/>
    </xf>
    <xf numFmtId="0" fontId="10" fillId="15" borderId="35" xfId="0" applyFont="1" applyFill="1" applyBorder="1" applyAlignment="1">
      <alignment horizontal="center" vertical="center"/>
    </xf>
    <xf numFmtId="0" fontId="10" fillId="15" borderId="35" xfId="0" applyFont="1" applyFill="1" applyBorder="1"/>
    <xf numFmtId="0" fontId="0" fillId="15" borderId="35" xfId="0" applyFill="1" applyBorder="1"/>
    <xf numFmtId="169" fontId="0" fillId="15" borderId="35" xfId="2" applyNumberFormat="1" applyFont="1" applyFill="1" applyBorder="1" applyAlignment="1">
      <alignment horizontal="center" vertical="center"/>
    </xf>
    <xf numFmtId="0" fontId="0" fillId="15" borderId="28" xfId="0" applyFill="1" applyBorder="1"/>
    <xf numFmtId="169" fontId="0" fillId="15" borderId="27" xfId="2" applyNumberFormat="1" applyFont="1" applyFill="1" applyBorder="1"/>
    <xf numFmtId="10" fontId="0" fillId="15" borderId="35" xfId="2" applyNumberFormat="1" applyFont="1" applyFill="1" applyBorder="1"/>
    <xf numFmtId="169" fontId="0" fillId="15" borderId="35" xfId="2" applyNumberFormat="1" applyFont="1" applyFill="1" applyBorder="1"/>
    <xf numFmtId="9" fontId="0" fillId="15" borderId="35" xfId="2" applyFont="1" applyFill="1" applyBorder="1"/>
    <xf numFmtId="0" fontId="13" fillId="0" borderId="0" xfId="0" applyFont="1"/>
    <xf numFmtId="164" fontId="25" fillId="0" borderId="0" xfId="0" applyNumberFormat="1" applyFont="1"/>
    <xf numFmtId="3" fontId="15" fillId="5" borderId="25" xfId="0" applyNumberFormat="1" applyFont="1" applyFill="1" applyBorder="1" applyAlignment="1">
      <alignment horizontal="left" vertical="center" wrapText="1"/>
    </xf>
    <xf numFmtId="168" fontId="10" fillId="0" borderId="0" xfId="1" applyNumberFormat="1" applyFont="1" applyAlignment="1">
      <alignment horizontal="center" vertical="center"/>
    </xf>
    <xf numFmtId="168" fontId="0" fillId="4" borderId="0" xfId="1" applyNumberFormat="1" applyFont="1" applyFill="1" applyAlignment="1">
      <alignment horizontal="center" vertical="center"/>
    </xf>
    <xf numFmtId="168" fontId="0" fillId="0" borderId="31" xfId="1" applyNumberFormat="1" applyFont="1" applyBorder="1"/>
    <xf numFmtId="3" fontId="4" fillId="6" borderId="19" xfId="0" applyNumberFormat="1" applyFont="1" applyFill="1" applyBorder="1"/>
    <xf numFmtId="0" fontId="4" fillId="30" borderId="29" xfId="3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9" fillId="29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9" fillId="29" borderId="33" xfId="0" applyFont="1" applyFill="1" applyBorder="1" applyAlignment="1">
      <alignment horizontal="center" vertical="center"/>
    </xf>
    <xf numFmtId="168" fontId="0" fillId="0" borderId="30" xfId="1" applyNumberFormat="1" applyFont="1" applyBorder="1"/>
    <xf numFmtId="168" fontId="0" fillId="0" borderId="32" xfId="1" applyNumberFormat="1" applyFont="1" applyBorder="1"/>
    <xf numFmtId="168" fontId="0" fillId="0" borderId="50" xfId="1" applyNumberFormat="1" applyFont="1" applyBorder="1"/>
    <xf numFmtId="168" fontId="0" fillId="0" borderId="33" xfId="1" applyNumberFormat="1" applyFont="1" applyBorder="1"/>
    <xf numFmtId="0" fontId="17" fillId="30" borderId="29" xfId="0" applyFont="1" applyFill="1" applyBorder="1" applyAlignment="1">
      <alignment horizontal="left" vertical="center" wrapText="1"/>
    </xf>
    <xf numFmtId="0" fontId="17" fillId="30" borderId="69" xfId="0" applyFont="1" applyFill="1" applyBorder="1" applyAlignment="1">
      <alignment horizontal="left" vertical="center" wrapText="1"/>
    </xf>
    <xf numFmtId="0" fontId="17" fillId="6" borderId="69" xfId="0" applyFont="1" applyFill="1" applyBorder="1" applyAlignment="1">
      <alignment horizontal="left" vertical="center" wrapText="1"/>
    </xf>
    <xf numFmtId="0" fontId="17" fillId="6" borderId="34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7" fillId="30" borderId="34" xfId="0" applyFont="1" applyFill="1" applyBorder="1" applyAlignment="1">
      <alignment horizontal="left" vertical="center" wrapText="1"/>
    </xf>
    <xf numFmtId="168" fontId="9" fillId="4" borderId="30" xfId="1" applyNumberFormat="1" applyFont="1" applyFill="1" applyBorder="1" applyAlignment="1">
      <alignment horizontal="center" vertical="center"/>
    </xf>
    <xf numFmtId="168" fontId="9" fillId="4" borderId="32" xfId="1" applyNumberFormat="1" applyFont="1" applyFill="1" applyBorder="1" applyAlignment="1">
      <alignment horizontal="center" vertical="center"/>
    </xf>
    <xf numFmtId="168" fontId="4" fillId="6" borderId="29" xfId="1" applyNumberFormat="1" applyFont="1" applyFill="1" applyBorder="1" applyAlignment="1">
      <alignment horizontal="center" vertical="center" wrapText="1"/>
    </xf>
    <xf numFmtId="0" fontId="4" fillId="30" borderId="72" xfId="3" applyFont="1" applyFill="1" applyBorder="1" applyAlignment="1">
      <alignment horizontal="center" vertical="center"/>
    </xf>
    <xf numFmtId="0" fontId="9" fillId="29" borderId="44" xfId="0" applyFont="1" applyFill="1" applyBorder="1" applyAlignment="1">
      <alignment horizontal="center" vertical="center"/>
    </xf>
    <xf numFmtId="0" fontId="9" fillId="29" borderId="75" xfId="0" applyFont="1" applyFill="1" applyBorder="1" applyAlignment="1">
      <alignment horizontal="center" vertical="center"/>
    </xf>
    <xf numFmtId="0" fontId="4" fillId="6" borderId="69" xfId="3" applyFont="1" applyFill="1" applyBorder="1" applyAlignment="1">
      <alignment horizontal="center" vertical="center" wrapText="1"/>
    </xf>
    <xf numFmtId="0" fontId="4" fillId="6" borderId="34" xfId="3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3" fontId="16" fillId="0" borderId="62" xfId="0" applyNumberFormat="1" applyFont="1" applyBorder="1" applyAlignment="1">
      <alignment horizontal="left" vertical="center" wrapText="1"/>
    </xf>
    <xf numFmtId="166" fontId="11" fillId="2" borderId="79" xfId="0" applyNumberFormat="1" applyFont="1" applyFill="1" applyBorder="1" applyAlignment="1">
      <alignment horizontal="center"/>
    </xf>
    <xf numFmtId="167" fontId="11" fillId="2" borderId="79" xfId="0" applyNumberFormat="1" applyFont="1" applyFill="1" applyBorder="1" applyAlignment="1">
      <alignment horizontal="center"/>
    </xf>
    <xf numFmtId="167" fontId="11" fillId="2" borderId="49" xfId="0" applyNumberFormat="1" applyFont="1" applyFill="1" applyBorder="1" applyAlignment="1">
      <alignment horizontal="center"/>
    </xf>
    <xf numFmtId="3" fontId="4" fillId="30" borderId="17" xfId="0" applyNumberFormat="1" applyFont="1" applyFill="1" applyBorder="1"/>
    <xf numFmtId="166" fontId="23" fillId="2" borderId="30" xfId="0" applyNumberFormat="1" applyFont="1" applyFill="1" applyBorder="1" applyAlignment="1">
      <alignment horizontal="center"/>
    </xf>
    <xf numFmtId="168" fontId="16" fillId="30" borderId="29" xfId="1" applyNumberFormat="1" applyFont="1" applyFill="1" applyBorder="1" applyAlignment="1">
      <alignment horizontal="center" vertical="center" wrapText="1"/>
    </xf>
    <xf numFmtId="168" fontId="16" fillId="6" borderId="29" xfId="1" applyNumberFormat="1" applyFont="1" applyFill="1" applyBorder="1" applyAlignment="1">
      <alignment horizontal="center" vertical="center" wrapText="1"/>
    </xf>
    <xf numFmtId="169" fontId="0" fillId="0" borderId="72" xfId="2" applyNumberFormat="1" applyFont="1" applyBorder="1"/>
    <xf numFmtId="169" fontId="0" fillId="0" borderId="75" xfId="2" applyNumberFormat="1" applyFont="1" applyBorder="1"/>
    <xf numFmtId="9" fontId="17" fillId="30" borderId="34" xfId="2" applyFont="1" applyFill="1" applyBorder="1" applyAlignment="1">
      <alignment horizontal="left" vertical="center" wrapText="1"/>
    </xf>
    <xf numFmtId="0" fontId="0" fillId="0" borderId="63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9" fontId="17" fillId="6" borderId="19" xfId="2" applyFont="1" applyFill="1" applyBorder="1" applyAlignment="1">
      <alignment horizontal="left" vertical="center" wrapText="1"/>
    </xf>
    <xf numFmtId="168" fontId="10" fillId="0" borderId="0" xfId="0" applyNumberFormat="1" applyFont="1"/>
    <xf numFmtId="165" fontId="9" fillId="4" borderId="44" xfId="0" applyNumberFormat="1" applyFont="1" applyFill="1" applyBorder="1" applyAlignment="1">
      <alignment horizontal="center" vertical="center"/>
    </xf>
    <xf numFmtId="165" fontId="9" fillId="4" borderId="75" xfId="0" applyNumberFormat="1" applyFont="1" applyFill="1" applyBorder="1" applyAlignment="1">
      <alignment horizontal="center" vertical="center"/>
    </xf>
    <xf numFmtId="3" fontId="4" fillId="30" borderId="70" xfId="0" applyNumberFormat="1" applyFont="1" applyFill="1" applyBorder="1" applyAlignment="1">
      <alignment horizontal="left" vertical="center" wrapText="1"/>
    </xf>
    <xf numFmtId="0" fontId="4" fillId="30" borderId="69" xfId="0" applyFont="1" applyFill="1" applyBorder="1" applyAlignment="1">
      <alignment horizontal="left" vertical="center" wrapText="1"/>
    </xf>
    <xf numFmtId="0" fontId="4" fillId="30" borderId="34" xfId="0" applyFont="1" applyFill="1" applyBorder="1" applyAlignment="1">
      <alignment horizontal="left" vertical="center" wrapText="1"/>
    </xf>
    <xf numFmtId="3" fontId="4" fillId="6" borderId="30" xfId="0" applyNumberFormat="1" applyFont="1" applyFill="1" applyBorder="1" applyAlignment="1">
      <alignment horizontal="left" vertical="center" wrapText="1"/>
    </xf>
    <xf numFmtId="0" fontId="4" fillId="6" borderId="25" xfId="0" applyFont="1" applyFill="1" applyBorder="1" applyAlignment="1">
      <alignment horizontal="left" vertical="center" wrapText="1"/>
    </xf>
    <xf numFmtId="0" fontId="4" fillId="6" borderId="31" xfId="0" applyFont="1" applyFill="1" applyBorder="1" applyAlignment="1">
      <alignment horizontal="left" vertical="center" wrapText="1"/>
    </xf>
    <xf numFmtId="0" fontId="10" fillId="6" borderId="31" xfId="0" applyFont="1" applyFill="1" applyBorder="1" applyAlignment="1">
      <alignment horizontal="left" vertical="center" wrapText="1"/>
    </xf>
    <xf numFmtId="168" fontId="4" fillId="6" borderId="71" xfId="1" applyNumberFormat="1" applyFont="1" applyFill="1" applyBorder="1" applyAlignment="1">
      <alignment horizontal="left" vertical="center" wrapText="1"/>
    </xf>
    <xf numFmtId="168" fontId="4" fillId="6" borderId="47" xfId="1" applyNumberFormat="1" applyFont="1" applyFill="1" applyBorder="1" applyAlignment="1">
      <alignment horizontal="left" vertical="center" wrapText="1"/>
    </xf>
    <xf numFmtId="168" fontId="4" fillId="6" borderId="36" xfId="1" applyNumberFormat="1" applyFont="1" applyFill="1" applyBorder="1" applyAlignment="1">
      <alignment horizontal="left" vertical="center" wrapText="1"/>
    </xf>
    <xf numFmtId="0" fontId="10" fillId="30" borderId="16" xfId="0" applyFont="1" applyFill="1" applyBorder="1" applyAlignment="1">
      <alignment horizontal="center" vertical="center" wrapText="1"/>
    </xf>
    <xf numFmtId="0" fontId="10" fillId="30" borderId="29" xfId="0" applyFont="1" applyFill="1" applyBorder="1" applyAlignment="1">
      <alignment horizontal="center" vertical="center" wrapText="1"/>
    </xf>
    <xf numFmtId="169" fontId="10" fillId="30" borderId="34" xfId="2" applyNumberFormat="1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0" fillId="6" borderId="72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9" fontId="10" fillId="6" borderId="25" xfId="2" applyFont="1" applyFill="1" applyBorder="1" applyAlignment="1">
      <alignment horizontal="center" vertical="center" wrapText="1"/>
    </xf>
    <xf numFmtId="169" fontId="10" fillId="30" borderId="25" xfId="2" applyNumberFormat="1" applyFont="1" applyFill="1" applyBorder="1" applyAlignment="1">
      <alignment horizontal="center" vertical="center" wrapText="1"/>
    </xf>
    <xf numFmtId="10" fontId="10" fillId="30" borderId="25" xfId="2" applyNumberFormat="1" applyFont="1" applyFill="1" applyBorder="1" applyAlignment="1">
      <alignment horizontal="center" vertical="center" wrapText="1"/>
    </xf>
    <xf numFmtId="0" fontId="10" fillId="30" borderId="25" xfId="0" applyFont="1" applyFill="1" applyBorder="1" applyAlignment="1">
      <alignment horizontal="center" vertical="center" wrapText="1"/>
    </xf>
    <xf numFmtId="0" fontId="10" fillId="30" borderId="30" xfId="0" applyFont="1" applyFill="1" applyBorder="1" applyAlignment="1">
      <alignment horizontal="left" vertical="center" wrapText="1"/>
    </xf>
    <xf numFmtId="168" fontId="4" fillId="30" borderId="71" xfId="1" applyNumberFormat="1" applyFont="1" applyFill="1" applyBorder="1" applyAlignment="1">
      <alignment horizontal="left" vertical="center" wrapText="1"/>
    </xf>
    <xf numFmtId="168" fontId="4" fillId="30" borderId="47" xfId="1" applyNumberFormat="1" applyFont="1" applyFill="1" applyBorder="1" applyAlignment="1">
      <alignment horizontal="left" vertical="center" wrapText="1"/>
    </xf>
    <xf numFmtId="168" fontId="4" fillId="30" borderId="81" xfId="1" applyNumberFormat="1" applyFont="1" applyFill="1" applyBorder="1" applyAlignment="1">
      <alignment horizontal="left" vertical="center" wrapText="1"/>
    </xf>
    <xf numFmtId="0" fontId="9" fillId="30" borderId="46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/>
    </xf>
    <xf numFmtId="0" fontId="6" fillId="30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49" fillId="30" borderId="66" xfId="0" applyFont="1" applyFill="1" applyBorder="1" applyAlignment="1">
      <alignment horizontal="center" vertical="center"/>
    </xf>
    <xf numFmtId="0" fontId="49" fillId="6" borderId="68" xfId="0" applyFont="1" applyFill="1" applyBorder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9" fontId="17" fillId="30" borderId="17" xfId="2" applyFont="1" applyFill="1" applyBorder="1" applyAlignment="1">
      <alignment horizontal="left" vertical="center"/>
    </xf>
    <xf numFmtId="9" fontId="17" fillId="6" borderId="18" xfId="2" applyFont="1" applyFill="1" applyBorder="1" applyAlignment="1">
      <alignment horizontal="left" vertical="center"/>
    </xf>
    <xf numFmtId="0" fontId="17" fillId="6" borderId="35" xfId="0" applyFont="1" applyFill="1" applyBorder="1" applyAlignment="1">
      <alignment horizontal="center" vertical="center"/>
    </xf>
    <xf numFmtId="0" fontId="17" fillId="30" borderId="27" xfId="0" applyFont="1" applyFill="1" applyBorder="1" applyAlignment="1">
      <alignment horizontal="center" vertical="center" wrapText="1"/>
    </xf>
    <xf numFmtId="3" fontId="16" fillId="30" borderId="43" xfId="0" applyNumberFormat="1" applyFont="1" applyFill="1" applyBorder="1" applyAlignment="1">
      <alignment horizontal="left" vertical="center" wrapText="1"/>
    </xf>
    <xf numFmtId="3" fontId="16" fillId="30" borderId="26" xfId="0" applyNumberFormat="1" applyFont="1" applyFill="1" applyBorder="1" applyAlignment="1">
      <alignment horizontal="left" vertical="center" wrapText="1"/>
    </xf>
    <xf numFmtId="3" fontId="16" fillId="6" borderId="26" xfId="0" applyNumberFormat="1" applyFont="1" applyFill="1" applyBorder="1" applyAlignment="1">
      <alignment horizontal="left" vertical="center" wrapText="1"/>
    </xf>
    <xf numFmtId="3" fontId="1" fillId="8" borderId="0" xfId="0" applyNumberFormat="1" applyFont="1" applyFill="1"/>
    <xf numFmtId="3" fontId="1" fillId="31" borderId="0" xfId="0" applyNumberFormat="1" applyFont="1" applyFill="1"/>
    <xf numFmtId="3" fontId="1" fillId="31" borderId="0" xfId="0" applyNumberFormat="1" applyFont="1" applyFill="1" applyAlignment="1">
      <alignment horizontal="left"/>
    </xf>
    <xf numFmtId="3" fontId="1" fillId="31" borderId="25" xfId="0" applyNumberFormat="1" applyFont="1" applyFill="1" applyBorder="1" applyAlignment="1">
      <alignment horizontal="left"/>
    </xf>
    <xf numFmtId="0" fontId="48" fillId="8" borderId="0" xfId="0" applyFont="1" applyFill="1" applyAlignment="1">
      <alignment horizontal="left"/>
    </xf>
    <xf numFmtId="3" fontId="11" fillId="31" borderId="25" xfId="0" applyNumberFormat="1" applyFont="1" applyFill="1" applyBorder="1" applyAlignment="1">
      <alignment horizontal="left"/>
    </xf>
    <xf numFmtId="166" fontId="11" fillId="31" borderId="25" xfId="0" applyNumberFormat="1" applyFont="1" applyFill="1" applyBorder="1" applyAlignment="1">
      <alignment horizontal="center"/>
    </xf>
    <xf numFmtId="167" fontId="11" fillId="31" borderId="25" xfId="0" applyNumberFormat="1" applyFont="1" applyFill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3" fontId="11" fillId="18" borderId="20" xfId="0" applyNumberFormat="1" applyFont="1" applyFill="1" applyBorder="1" applyAlignment="1">
      <alignment horizontal="center" vertical="center"/>
    </xf>
    <xf numFmtId="3" fontId="11" fillId="18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5" borderId="17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9" fontId="0" fillId="0" borderId="47" xfId="0" applyNumberFormat="1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center" vertical="center" wrapText="1"/>
    </xf>
    <xf numFmtId="9" fontId="0" fillId="0" borderId="47" xfId="0" applyNumberFormat="1" applyBorder="1" applyAlignment="1">
      <alignment horizontal="center" vertical="center"/>
    </xf>
    <xf numFmtId="9" fontId="0" fillId="0" borderId="48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25" xfId="0" applyNumberForma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9" fontId="0" fillId="0" borderId="25" xfId="0" applyNumberFormat="1" applyBorder="1" applyAlignment="1">
      <alignment horizontal="left" vertical="center"/>
    </xf>
    <xf numFmtId="9" fontId="0" fillId="0" borderId="48" xfId="0" applyNumberFormat="1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35" fillId="0" borderId="25" xfId="0" applyFont="1" applyBorder="1" applyAlignment="1">
      <alignment horizontal="left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3" fontId="4" fillId="0" borderId="54" xfId="0" applyNumberFormat="1" applyFont="1" applyBorder="1" applyAlignment="1">
      <alignment horizontal="center"/>
    </xf>
    <xf numFmtId="0" fontId="5" fillId="0" borderId="55" xfId="0" applyFont="1" applyBorder="1"/>
    <xf numFmtId="0" fontId="5" fillId="0" borderId="56" xfId="0" applyFont="1" applyBorder="1"/>
    <xf numFmtId="0" fontId="20" fillId="9" borderId="66" xfId="0" applyFont="1" applyFill="1" applyBorder="1" applyAlignment="1">
      <alignment horizontal="center" vertical="center"/>
    </xf>
    <xf numFmtId="0" fontId="20" fillId="9" borderId="67" xfId="0" applyFont="1" applyFill="1" applyBorder="1" applyAlignment="1">
      <alignment horizontal="center" vertical="center"/>
    </xf>
    <xf numFmtId="0" fontId="20" fillId="9" borderId="68" xfId="0" applyFont="1" applyFill="1" applyBorder="1" applyAlignment="1">
      <alignment horizontal="center" vertical="center"/>
    </xf>
    <xf numFmtId="3" fontId="21" fillId="9" borderId="66" xfId="0" applyNumberFormat="1" applyFont="1" applyFill="1" applyBorder="1" applyAlignment="1">
      <alignment horizontal="center" vertical="center"/>
    </xf>
    <xf numFmtId="0" fontId="22" fillId="9" borderId="67" xfId="0" applyFont="1" applyFill="1" applyBorder="1" applyAlignment="1">
      <alignment horizontal="center" vertical="center"/>
    </xf>
    <xf numFmtId="0" fontId="22" fillId="9" borderId="68" xfId="0" applyFont="1" applyFill="1" applyBorder="1" applyAlignment="1">
      <alignment horizontal="center" vertical="center"/>
    </xf>
    <xf numFmtId="3" fontId="19" fillId="0" borderId="62" xfId="0" applyNumberFormat="1" applyFont="1" applyBorder="1" applyAlignment="1">
      <alignment horizontal="center" vertical="center"/>
    </xf>
    <xf numFmtId="3" fontId="19" fillId="0" borderId="63" xfId="0" applyNumberFormat="1" applyFont="1" applyBorder="1" applyAlignment="1">
      <alignment horizontal="center" vertical="center"/>
    </xf>
    <xf numFmtId="0" fontId="10" fillId="0" borderId="39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40" xfId="0" applyFont="1" applyBorder="1" applyAlignment="1">
      <alignment horizontal="center" wrapText="1"/>
    </xf>
    <xf numFmtId="0" fontId="10" fillId="0" borderId="0" xfId="0" applyFont="1" applyAlignment="1">
      <alignment horizontal="center" vertical="center"/>
    </xf>
    <xf numFmtId="3" fontId="4" fillId="16" borderId="17" xfId="0" applyNumberFormat="1" applyFont="1" applyFill="1" applyBorder="1" applyAlignment="1">
      <alignment horizontal="center"/>
    </xf>
    <xf numFmtId="3" fontId="4" fillId="16" borderId="18" xfId="0" applyNumberFormat="1" applyFont="1" applyFill="1" applyBorder="1" applyAlignment="1">
      <alignment horizontal="center"/>
    </xf>
    <xf numFmtId="3" fontId="21" fillId="14" borderId="25" xfId="0" applyNumberFormat="1" applyFont="1" applyFill="1" applyBorder="1" applyAlignment="1">
      <alignment horizontal="center"/>
    </xf>
    <xf numFmtId="0" fontId="10" fillId="0" borderId="35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3" fontId="4" fillId="30" borderId="62" xfId="0" applyNumberFormat="1" applyFont="1" applyFill="1" applyBorder="1" applyAlignment="1">
      <alignment horizontal="center"/>
    </xf>
    <xf numFmtId="3" fontId="4" fillId="30" borderId="85" xfId="0" applyNumberFormat="1" applyFont="1" applyFill="1" applyBorder="1" applyAlignment="1">
      <alignment horizontal="center"/>
    </xf>
    <xf numFmtId="3" fontId="4" fillId="30" borderId="63" xfId="0" applyNumberFormat="1" applyFont="1" applyFill="1" applyBorder="1" applyAlignment="1">
      <alignment horizontal="center"/>
    </xf>
    <xf numFmtId="3" fontId="4" fillId="6" borderId="17" xfId="0" applyNumberFormat="1" applyFont="1" applyFill="1" applyBorder="1" applyAlignment="1">
      <alignment horizontal="center"/>
    </xf>
    <xf numFmtId="3" fontId="4" fillId="6" borderId="18" xfId="0" applyNumberFormat="1" applyFont="1" applyFill="1" applyBorder="1" applyAlignment="1">
      <alignment horizontal="center"/>
    </xf>
    <xf numFmtId="3" fontId="4" fillId="6" borderId="19" xfId="0" applyNumberFormat="1" applyFont="1" applyFill="1" applyBorder="1" applyAlignment="1">
      <alignment horizontal="center"/>
    </xf>
    <xf numFmtId="3" fontId="32" fillId="12" borderId="41" xfId="0" applyNumberFormat="1" applyFont="1" applyFill="1" applyBorder="1" applyAlignment="1">
      <alignment horizontal="center"/>
    </xf>
    <xf numFmtId="3" fontId="32" fillId="12" borderId="42" xfId="0" applyNumberFormat="1" applyFont="1" applyFill="1" applyBorder="1" applyAlignment="1">
      <alignment horizontal="center"/>
    </xf>
    <xf numFmtId="3" fontId="32" fillId="12" borderId="82" xfId="0" applyNumberFormat="1" applyFont="1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20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168" formatCode="_(* #,##0_);_(* \(#,##0\);_(* &quot;-&quot;??_);_(@_)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8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(* #,##0_);_(* \(#,##0\);_(* &quot;-&quot;??_);_(@_)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(* #,##0_);_(* \(#,##0\);_(* &quot;-&quot;??_);_(@_)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8" formatCode="_(* #,##0_);_(* \(#,##0\);_(* &quot;-&quot;??_);_(@_)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(* #,##0_);_(* \(#,##0\);_(* &quot;-&quot;??_);_(@_)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65" formatCode="_([$€-2]\ * #,##0_);_([$€-2]\ * \(#,##0\);_([$€-2]\ 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68" formatCode="_(* #,##0_);_(* \(#,##0\);_(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71" formatCode="\+#,##0&quot; bps&quot;;\-#,##0&quot; bps&quot;;0&quot; bps&quot;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71" formatCode="\+#,##0&quot; bps&quot;;\-#,##0&quot; bps&quot;;0&quot; bps&quot;;@"/>
      <border outline="0"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9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9" formatCode="0.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64" formatCode="_([$€-2]\ * #,##0.00_);_([$€-2]\ * \(#,##0.00\);_([$€-2]\ * &quot;-&quot;??_);_(@_)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71" formatCode="\+#,##0&quot; bps&quot;;\-#,##0&quot; bps&quot;;0&quot; bps&quot;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71" formatCode="\+#,##0&quot; bps&quot;;\-#,##0&quot; bps&quot;;0&quot; bps&quot;;@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9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9" formatCode="0.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64" formatCode="_([$€-2]\ * #,##0.00_);_([$€-2]\ * \(#,##0.00\);_([$€-2]\ * &quot;-&quot;??_);_(@_)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71" formatCode="\+#,##0&quot; bps&quot;;\-#,##0&quot; bps&quot;;0&quot; bps&quot;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minor"/>
      </font>
      <numFmt numFmtId="171" formatCode="\+#,##0&quot; bps&quot;;\-#,##0&quot; bps&quot;;0&quot; bps&quot;;@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9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9" formatCode="0.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5" formatCode="_([$€-2]\ * #,##0_);_([$€-2]\ * \(#,##0\);_([$€-2]\ * &quot;-&quot;??_);_(@_)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5" formatCode="_([$€-2]\ * #,##0_);_([$€-2]\ * \(#,##0\);_([$€-2]\ * &quot;-&quot;??_);_(@_)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4" formatCode="#,##0.0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167" formatCode="&quot;€&quot;#0.0,&quot;K&quot;;\-&quot;€&quot;#0.0,&quot;K&quot;;\-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13" formatCode="0%"/>
      <fill>
        <patternFill patternType="solid">
          <fgColor rgb="FFFFFFFF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13" formatCode="0%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13" formatCode="0%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13" formatCode="0%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999999"/>
        <name val="Helvetica Neue"/>
        <scheme val="none"/>
      </font>
      <numFmt numFmtId="169" formatCode="0.0%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999999"/>
        <name val="Helvetica Neue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169" formatCode="0.0%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169" formatCode="0.0%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999999"/>
        <name val="Helvetica Neue"/>
        <scheme val="none"/>
      </font>
      <numFmt numFmtId="169" formatCode="0.0%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999999"/>
        <name val="Helvetica Neue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164" formatCode="_([$€-2]\ * #,##0.00_);_([$€-2]\ * \(#,##0.00\);_([$€-2]\ * &quot;-&quot;??_);_(@_)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166" formatCode="&quot;€&quot;#,##0.0,,&quot;MM&quot;;\-&quot;€&quot;#,##0.0,,&quot;MM&quot;;\-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168" formatCode="_(* #,##0_);_(* \(#,##0\);_(* &quot;-&quot;??_);_(@_)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168" formatCode="_(* #,##0_);_(* \(#,##0\);_(* &quot;-&quot;??_);_(@_)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164" formatCode="_([$€-2]\ * #,##0.00_);_([$€-2]\ * \(#,##0.00\);_([$€-2]\ * &quot;-&quot;??_);_(@_)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13" formatCode="0%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166" formatCode="&quot;€&quot;#,##0.0,,&quot;MM&quot;;\-&quot;€&quot;#,##0.0,,&quot;MM&quot;;\-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numFmt numFmtId="3" formatCode="#,##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medium">
          <color indexed="64"/>
        </right>
      </border>
    </dxf>
    <dxf>
      <font>
        <color theme="3"/>
      </font>
    </dxf>
    <dxf>
      <fill>
        <patternFill>
          <bgColor theme="9" tint="0.79998168889431442"/>
        </patternFill>
      </fill>
    </dxf>
    <dxf>
      <font>
        <color theme="2"/>
      </font>
    </dxf>
    <dxf>
      <fill>
        <patternFill>
          <bgColor theme="7" tint="0.79998168889431442"/>
        </patternFill>
      </fill>
    </dxf>
    <dxf>
      <font>
        <color theme="1"/>
      </font>
    </dxf>
    <dxf>
      <fill>
        <patternFill>
          <bgColor theme="4" tint="0.79998168889431442"/>
        </patternFill>
      </fill>
    </dxf>
    <dxf>
      <font>
        <color theme="2"/>
      </font>
    </dxf>
    <dxf>
      <fill>
        <patternFill patternType="solid">
          <bgColor theme="7"/>
        </patternFill>
      </fill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2"/>
      </font>
    </dxf>
    <dxf>
      <font>
        <color theme="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alignment wrapText="1"/>
    </dxf>
    <dxf>
      <alignment wrapText="1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-0.249977111117893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4" tint="-0.249977111117893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4" tint="-0.249977111117893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4" tint="-0.249977111117893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9" formatCode="0.0%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8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9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8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9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8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9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8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8" formatCode="_(* #,##0_);_(* \(#,##0\);_(* &quot;-&quot;??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8" formatCode="_(* #,##0_);_(* \(#,##0\);_(* &quot;-&quot;??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8" formatCode="_(* #,##0_);_(* \(#,##0\);_(* &quot;-&quot;??_);_(@_)"/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999999"/>
        <name val="Helvetica Neue"/>
        <scheme val="none"/>
      </font>
      <numFmt numFmtId="168" formatCode="_(* #,##0_);_(* \(#,##0\);_(* &quot;-&quot;??_);_(@_)"/>
      <fill>
        <patternFill patternType="solid">
          <fgColor rgb="FFD9D9D9"/>
          <bgColor rgb="FFD9D9D9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8" formatCode="_(* #,##0_);_(* \(#,##0\);_(* &quot;-&quot;??_);_(@_)"/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8" formatCode="_(* #,##0_);_(* \(#,##0\);_(* &quot;-&quot;??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8" formatCode="_(* #,##0_);_(* \(#,##0\);_(* &quot;-&quot;??_);_(@_)"/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999999"/>
        <name val="Helvetica Neue"/>
        <scheme val="none"/>
      </font>
      <numFmt numFmtId="168" formatCode="_(* #,##0_);_(* \(#,##0\);_(* &quot;-&quot;??_);_(@_)"/>
      <fill>
        <patternFill patternType="solid">
          <fgColor rgb="FFD9D9D9"/>
          <bgColor rgb="FFD9D9D9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8" formatCode="_(* #,##0_);_(* \(#,##0\);_(* &quot;-&quot;??_);_(@_)"/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8" formatCode="_(* #,##0_);_(* \(#,##0\);_(* &quot;-&quot;??_);_(@_)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8" formatCode="_(* #,##0_);_(* \(#,##0\);_(* &quot;-&quot;??_);_(@_)"/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8" formatCode="_(* #,##0_);_(* \(#,##0\);_(* &quot;-&quot;??_);_(@_)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3" formatCode="0%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family val="2"/>
        <scheme val="minor"/>
      </font>
      <numFmt numFmtId="13" formatCode="0%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999999"/>
        <name val="Helvetica Neue"/>
        <scheme val="none"/>
      </font>
      <numFmt numFmtId="13" formatCode="0%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3" formatCode="0%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3" formatCode="0%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999999"/>
        <name val="Helvetica Neue"/>
        <scheme val="none"/>
      </font>
      <numFmt numFmtId="13" formatCode="0%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 Neue"/>
        <scheme val="none"/>
      </font>
      <numFmt numFmtId="3" formatCode="#,##0"/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 Neue"/>
        <scheme val="none"/>
      </font>
      <numFmt numFmtId="3" formatCode="#,##0"/>
    </dxf>
    <dxf>
      <border outline="0">
        <left style="thin">
          <color rgb="FF000000"/>
        </left>
        <right style="medium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2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ntin, Tommaso" refreshedDate="46084.449104282408" createdVersion="8" refreshedVersion="8" minRefreshableVersion="3" recordCount="14" xr:uid="{063C0A70-7384-4258-81DE-6BFDD145FEF1}">
  <cacheSource type="worksheet">
    <worksheetSource ref="A3:C17" sheet="Account Information"/>
  </cacheSource>
  <cacheFields count="3">
    <cacheField name="Name" numFmtId="0">
      <sharedItems count="14">
        <s v="Hanover &amp; Hearth "/>
        <s v="Vanguard Wilds"/>
        <s v="Swift-Pulse"/>
        <s v="Velocity Labs"/>
        <s v="Velvet &amp; Vice"/>
        <s v="Titan Sport"/>
        <s v="Nordic Nord"/>
        <s v="Omni-Arena"/>
        <s v="Aurelian &amp; Co."/>
        <s v="Agora Athletics"/>
        <s v="Axiom Street"/>
        <s v="Vault"/>
        <s v="Strike-Point"/>
        <s v="Scale"/>
      </sharedItems>
    </cacheField>
    <cacheField name="Product Vertical" numFmtId="0">
      <sharedItems count="3">
        <s v="Lifestyle / Sport"/>
        <s v="Sport"/>
        <s v="Lifestyle"/>
      </sharedItems>
    </cacheField>
    <cacheField name="Description" numFmtId="0">
      <sharedItems count="14">
        <s v="Precise, premium department store"/>
        <s v="Tech-wear for the Great Outdoors"/>
        <s v="Experimental street-culture labs"/>
        <s v="Biometric-focused sprinting gear"/>
        <s v="Elite luxury"/>
        <s v="Mass-market muscle "/>
        <s v="Urban-armor optimized for the crumbling wild"/>
        <s v="Massive multi-sport hubs"/>
        <s v="Prestigious, multi-level luxury spire"/>
        <s v="Digital-first performance gear"/>
        <s v="Endless digital fashion scroll"/>
        <s v="Staple sneaker archives"/>
        <s v="Pinicle sporting aesthetics"/>
        <s v="The &quot;King of Tiers&quot; in sports lifesty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ntin, Tommaso" refreshedDate="46084.531294791668" createdVersion="8" refreshedVersion="8" minRefreshableVersion="3" recordCount="23" xr:uid="{64FDEDDF-64DE-42B5-A59D-590371A86FF2}">
  <cacheSource type="worksheet">
    <worksheetSource name="Table1"/>
  </cacheSource>
  <cacheFields count="43">
    <cacheField name="Sub Region" numFmtId="3">
      <sharedItems count="4">
        <s v="Central"/>
        <s v="North"/>
        <s v="Europe"/>
        <s v="South"/>
      </sharedItems>
    </cacheField>
    <cacheField name="Market" numFmtId="3">
      <sharedItems count="10">
        <s v="Germany"/>
        <s v="Austria"/>
        <s v="BeNeLux"/>
        <s v="Switzerland"/>
        <s v="Europe"/>
        <s v="Italy"/>
        <s v="United Kingdom"/>
        <s v="Nordics"/>
        <s v="Spain"/>
        <s v="France"/>
      </sharedItems>
    </cacheField>
    <cacheField name="Account" numFmtId="0">
      <sharedItems/>
    </cacheField>
    <cacheField name="Client Vertical" numFmtId="3">
      <sharedItems count="5">
        <s v="Field Accounts"/>
        <s v="Lifestyle / Sport"/>
        <s v="Lifestyle"/>
        <s v="Sport"/>
        <s v="" u="1"/>
      </sharedItems>
    </cacheField>
    <cacheField name="Value (€)" numFmtId="0">
      <sharedItems containsSemiMixedTypes="0" containsString="0" containsNumber="1" minValue="115984.40000000001" maxValue="36200171"/>
    </cacheField>
    <cacheField name="Units" numFmtId="3">
      <sharedItems containsSemiMixedTypes="0" containsString="0" containsNumber="1" containsInteger="1" minValue="2000" maxValue="574000"/>
    </cacheField>
    <cacheField name="Exp ASP" numFmtId="164">
      <sharedItems containsSemiMixedTypes="0" containsString="0" containsNumber="1" minValue="52.902500000000003" maxValue="74.085999999999999"/>
    </cacheField>
    <cacheField name="Net Sales (€)" numFmtId="0">
      <sharedItems containsSemiMixedTypes="0" containsString="0" containsNumber="1" minValue="59430" maxValue="20914156.900000006"/>
    </cacheField>
    <cacheField name="Pre-Orders Invoiced (units)" numFmtId="3">
      <sharedItems containsSemiMixedTypes="0" containsString="0" containsNumber="1" containsInteger="1" minValue="1000" maxValue="279800"/>
    </cacheField>
    <cacheField name="Cancellations (units)" numFmtId="3">
      <sharedItems containsSemiMixedTypes="0" containsString="0" containsNumber="1" containsInteger="1" minValue="0" maxValue="30000"/>
    </cacheField>
    <cacheField name="Re-Orders Invoiced (units)" numFmtId="3">
      <sharedItems containsSemiMixedTypes="0" containsString="0" containsNumber="1" containsInteger="1" minValue="0" maxValue="34200"/>
    </cacheField>
    <cacheField name="Stock Clearance Invoiced (units)" numFmtId="3">
      <sharedItems containsSemiMixedTypes="0" containsString="0" containsNumber="1" containsInteger="1" minValue="0" maxValue="15000"/>
    </cacheField>
    <cacheField name="Returns Processed (units)" numFmtId="3">
      <sharedItems containsSemiMixedTypes="0" containsString="0" containsNumber="1" containsInteger="1" minValue="-5900" maxValue="0"/>
    </cacheField>
    <cacheField name="Net Sales (€)2" numFmtId="3">
      <sharedItems containsSemiMixedTypes="0" containsString="0" containsNumber="1" minValue="0" maxValue="1932331.324"/>
    </cacheField>
    <cacheField name="Pre-Orders Invoiced (units)3" numFmtId="3">
      <sharedItems containsSemiMixedTypes="0" containsString="0" containsNumber="1" minValue="0" maxValue="41970"/>
    </cacheField>
    <cacheField name="Cancellations (units)4" numFmtId="3">
      <sharedItems containsSemiMixedTypes="0" containsString="0" containsNumber="1" minValue="0" maxValue="3456"/>
    </cacheField>
    <cacheField name="Re-Orders Invoiced (units)5" numFmtId="3">
      <sharedItems containsSemiMixedTypes="0" containsString="0" containsNumber="1" minValue="0" maxValue="682.5"/>
    </cacheField>
    <cacheField name="Stock Clearance Invoiced (units)6" numFmtId="3">
      <sharedItems containsSemiMixedTypes="0" containsString="0" containsNumber="1" containsInteger="1" minValue="0" maxValue="15000"/>
    </cacheField>
    <cacheField name="Returns Processed (units)7" numFmtId="3">
      <sharedItems containsSemiMixedTypes="0" containsString="0" containsNumber="1" containsInteger="1" minValue="-2005" maxValue="0"/>
    </cacheField>
    <cacheField name="Orderbook (units)" numFmtId="3">
      <sharedItems containsSemiMixedTypes="0" containsString="0" containsNumber="1" containsInteger="1" minValue="600" maxValue="256100"/>
    </cacheField>
    <cacheField name="Orderbook (units)8" numFmtId="3">
      <sharedItems containsSemiMixedTypes="0" containsString="0" containsNumber="1" containsInteger="1" minValue="0" maxValue="30324"/>
    </cacheField>
    <cacheField name="Net Sales FC (units)" numFmtId="3">
      <sharedItems containsSemiMixedTypes="0" containsString="0" containsNumber="1" containsInteger="1" minValue="100" maxValue="235400"/>
    </cacheField>
    <cacheField name="Actual Net Sales(units)" numFmtId="3">
      <sharedItems containsSemiMixedTypes="0" containsString="0" containsNumber="1" containsInteger="1" minValue="1000" maxValue="312700"/>
    </cacheField>
    <cacheField name="Net Sales FC (units)9" numFmtId="3">
      <sharedItems containsSemiMixedTypes="0" containsString="0" containsNumber="1" minValue="6732.64" maxValue="1352855"/>
    </cacheField>
    <cacheField name="Actual Net Sales(units)10" numFmtId="3">
      <sharedItems containsSemiMixedTypes="0" containsString="0" containsNumber="1" minValue="5000" maxValue="2002901.324"/>
    </cacheField>
    <cacheField name="Net Sales FC (units)11" numFmtId="3">
      <sharedItems containsSemiMixedTypes="0" containsString="0" containsNumber="1" minValue="-1868927.324" maxValue="300353"/>
    </cacheField>
    <cacheField name="Actual Net Sales(units)12" numFmtId="3">
      <sharedItems containsSemiMixedTypes="0" containsString="0" containsNumber="1" minValue="-322.79999999999995" maxValue="40372"/>
    </cacheField>
    <cacheField name="Column2" numFmtId="3">
      <sharedItems containsNonDate="0" containsString="0" containsBlank="1"/>
    </cacheField>
    <cacheField name="STD Actuals SS25" numFmtId="165">
      <sharedItems containsSemiMixedTypes="0" containsString="0" containsNumber="1" minValue="65152.639999999999" maxValue="22846488.224000007"/>
    </cacheField>
    <cacheField name="SS25 Phased Budget" numFmtId="165">
      <sharedItems containsSemiMixedTypes="0" containsString="0" containsNumber="1" minValue="63791.420000000013" maxValue="19910094.050000001"/>
    </cacheField>
    <cacheField name="vs Phased Plan" numFmtId="169">
      <sharedItems containsSemiMixedTypes="0" containsString="0" containsNumber="1" minValue="-0.55301641371673105" maxValue="0.56875067953047331"/>
    </cacheField>
    <cacheField name="CtC" numFmtId="169">
      <sharedItems containsSemiMixedTypes="0" containsString="0" containsNumber="1" minValue="7.8675624155968035E-4" maxValue="0.24555638930561119"/>
    </cacheField>
    <cacheField name="CTC (bps)" numFmtId="171">
      <sharedItems containsSemiMixedTypes="0" containsString="0" containsNumber="1" containsInteger="1" minValue="-89" maxValue="362"/>
    </cacheField>
    <cacheField name="Column1" numFmtId="0">
      <sharedItems containsNonDate="0" containsString="0" containsBlank="1"/>
    </cacheField>
    <cacheField name="Exp Phased Q1 Shoes" numFmtId="164">
      <sharedItems containsSemiMixedTypes="0" containsString="0" containsNumber="1" minValue="58549.902483452155" maxValue="18274151.368065812"/>
    </cacheField>
    <cacheField name="vs Phased Plan15" numFmtId="169">
      <sharedItems containsSemiMixedTypes="0" containsString="0" containsNumber="1" minValue="-0.54564065240559068" maxValue="0.47481835270155748"/>
    </cacheField>
    <cacheField name="CtC16" numFmtId="169">
      <sharedItems containsSemiMixedTypes="0" containsString="0" containsNumber="1" minValue="7.8675624155968025E-4" maxValue="0.24555638930561116"/>
    </cacheField>
    <cacheField name="CtC (bps)17" numFmtId="171">
      <sharedItems containsSemiMixedTypes="0" containsString="0" containsNumber="1" minValue="-94.897681657456346" maxValue="354.74710322332999"/>
    </cacheField>
    <cacheField name="Column18" numFmtId="0">
      <sharedItems containsNonDate="0" containsString="0" containsBlank="1"/>
    </cacheField>
    <cacheField name="Exp Phased Q1 Apparel" numFmtId="164">
      <sharedItems containsSemiMixedTypes="0" containsString="0" containsNumber="1" minValue="5241.5175165478558" maxValue="1635942.6819341884"/>
    </cacheField>
    <cacheField name="vs Phased Plan19" numFmtId="169">
      <sharedItems containsSemiMixedTypes="0" containsString="0" containsNumber="1" minValue="-1" maxValue="1.6201613636562295"/>
    </cacheField>
    <cacheField name="CtC20" numFmtId="169">
      <sharedItems containsSemiMixedTypes="0" containsString="0" containsNumber="1" minValue="1.042829749509776E-3" maxValue="0.32548010987806159"/>
    </cacheField>
    <cacheField name="CtC (bps)21" numFmtId="171">
      <sharedItems containsSemiMixedTypes="0" containsString="0" containsNumber="1" minValue="-1464.0017195269622" maxValue="920.277340239525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ntin, Tommaso" refreshedDate="46085.628240162034" createdVersion="8" refreshedVersion="8" minRefreshableVersion="3" recordCount="23" xr:uid="{83AA94B6-0B67-4813-A9A6-01E1AFB7A91E}">
  <cacheSource type="worksheet">
    <worksheetSource name="Table3"/>
  </cacheSource>
  <cacheFields count="53">
    <cacheField name="Sub Region" numFmtId="3">
      <sharedItems count="4">
        <s v="Europe"/>
        <s v="Central"/>
        <s v="North"/>
        <s v="South"/>
      </sharedItems>
    </cacheField>
    <cacheField name="Market" numFmtId="3">
      <sharedItems/>
    </cacheField>
    <cacheField name="Account" numFmtId="0">
      <sharedItems count="17">
        <s v="Scale"/>
        <s v="Field Accounts"/>
        <s v="Vault"/>
        <s v="Titan Sport"/>
        <s v="Aurelian &amp; Co."/>
        <s v="Hanover &amp; Hearth "/>
        <s v="Swift-Pulse"/>
        <s v="Axiom Street"/>
        <s v="Velocity Labs"/>
        <s v="Vanguard Wilds"/>
        <s v="Strike-Point"/>
        <s v="Omni-Arena"/>
        <s v="Nordic Nord"/>
        <s v="Velvet &amp; Vice"/>
        <s v="Agora Athletics"/>
        <s v="Aurelian &amp; Co" u="1"/>
        <s v="Hanover &amp; Hearth" u="1"/>
      </sharedItems>
    </cacheField>
    <cacheField name="Client Tier" numFmtId="3">
      <sharedItems containsBlank="1"/>
    </cacheField>
    <cacheField name="Net Sales Invoiced Shoes" numFmtId="3">
      <sharedItems containsSemiMixedTypes="0" containsString="0" containsNumber="1" minValue="1.0000000000000001E-9" maxValue="213400"/>
    </cacheField>
    <cacheField name="Pre-Order Cancellations  Mix %" numFmtId="9">
      <sharedItems containsSemiMixedTypes="0" containsString="0" containsNumber="1" minValue="0" maxValue="0.76500000000000001"/>
    </cacheField>
    <cacheField name="Re-Order Rate %" numFmtId="9">
      <sharedItems containsSemiMixedTypes="0" containsString="0" containsNumber="1" minValue="0" maxValue="1.8919999999999999"/>
    </cacheField>
    <cacheField name="Stock Clearance Rate %" numFmtId="9">
      <sharedItems containsSemiMixedTypes="0" containsString="0" containsNumber="1" minValue="0" maxValue="0.70399999999999996"/>
    </cacheField>
    <cacheField name="Returns Rate %" numFmtId="9">
      <sharedItems containsSemiMixedTypes="0" containsString="0" containsNumber="1" minValue="0" maxValue="1"/>
    </cacheField>
    <cacheField name="Net Sales Invoiced Apparel" numFmtId="3">
      <sharedItems containsSemiMixedTypes="0" containsString="0" containsNumber="1" containsInteger="1" minValue="0" maxValue="24300"/>
    </cacheField>
    <cacheField name="Pre-Order Cancellations  Mix %2" numFmtId="9">
      <sharedItems containsSemiMixedTypes="0" containsString="0" containsNumber="1" minValue="0" maxValue="1"/>
    </cacheField>
    <cacheField name="Re-Order Rate %4" numFmtId="9">
      <sharedItems containsSemiMixedTypes="0" containsString="0" containsNumber="1" minValue="0" maxValue="6.4809999999999999"/>
    </cacheField>
    <cacheField name="Stock Clearance Rate %5" numFmtId="9">
      <sharedItems containsSemiMixedTypes="0" containsString="0" containsNumber="1" minValue="0" maxValue="5.0999999999999997E-2"/>
    </cacheField>
    <cacheField name="Returns Rate %6" numFmtId="9">
      <sharedItems containsSemiMixedTypes="0" containsString="0" containsNumber="1" minValue="0" maxValue="0.14399999999999999"/>
    </cacheField>
    <cacheField name="Returns Rate %7" numFmtId="3">
      <sharedItems containsNonDate="0" containsString="0" containsBlank="1"/>
    </cacheField>
    <cacheField name="Pre-Orders Booked LYQ2 (shoes)" numFmtId="168">
      <sharedItems containsSemiMixedTypes="0" containsString="0" containsNumber="1" minValue="1.0000000000000001E-9" maxValue="229956.89655172412"/>
    </cacheField>
    <cacheField name="Pre-Orders Booked LYQ2 (apparel)" numFmtId="168">
      <sharedItems containsSemiMixedTypes="0" containsString="0" containsNumber="1" minValue="0" maxValue="25741.525423728814"/>
    </cacheField>
    <cacheField name="Tot Net Sales Invoiced (units)" numFmtId="168">
      <sharedItems containsSemiMixedTypes="0" containsString="0" containsNumber="1" minValue="1.0000000000000001E-9" maxValue="237700"/>
    </cacheField>
    <cacheField name="Tot PreOrder  Invoiced (units)" numFmtId="168">
      <sharedItems containsSemiMixedTypes="0" containsString="0" containsNumber="1" minValue="1.0000000000000001E-9" maxValue="255698.42197545292"/>
    </cacheField>
    <cacheField name="Pre-Order Cancellations Mix Shoes" numFmtId="168">
      <sharedItems containsSemiMixedTypes="0" containsString="0" containsNumber="1" containsInteger="1" minValue="0" maxValue="49895"/>
    </cacheField>
    <cacheField name="Re-Order Rate %7" numFmtId="168">
      <sharedItems containsSemiMixedTypes="0" containsString="0" containsNumber="1" containsInteger="1" minValue="0" maxValue="51963"/>
    </cacheField>
    <cacheField name="Stock Clearance Rate %8" numFmtId="168">
      <sharedItems containsSemiMixedTypes="0" containsString="0" containsNumber="1" containsInteger="1" minValue="0" maxValue="3275"/>
    </cacheField>
    <cacheField name="Returns Rate %9" numFmtId="168">
      <sharedItems containsSemiMixedTypes="0" containsString="0" containsNumber="1" containsInteger="1" minValue="0" maxValue="5113"/>
    </cacheField>
    <cacheField name="Pre-Order Cancellations  Mix %Apparel" numFmtId="168">
      <sharedItems containsSemiMixedTypes="0" containsString="0" containsNumber="1" containsInteger="1" minValue="0" maxValue="7102"/>
    </cacheField>
    <cacheField name="Re-Order Rate %11" numFmtId="168">
      <sharedItems containsSemiMixedTypes="0" containsString="0" containsNumber="1" containsInteger="1" minValue="0" maxValue="2050"/>
    </cacheField>
    <cacheField name="Stock Clearance Rate %12" numFmtId="168">
      <sharedItems containsSemiMixedTypes="0" containsString="0" containsNumber="1" containsInteger="1" minValue="0" maxValue="146"/>
    </cacheField>
    <cacheField name="Returns Rate %13" numFmtId="168">
      <sharedItems containsSemiMixedTypes="0" containsString="0" containsNumber="1" containsInteger="1" minValue="0" maxValue="146"/>
    </cacheField>
    <cacheField name="Apparel vs Shoes Sell/Out" numFmtId="10">
      <sharedItems containsSemiMixedTypes="0" containsString="0" containsNumber="1" minValue="0" maxValue="0.4"/>
    </cacheField>
    <cacheField name="Column1" numFmtId="0">
      <sharedItems containsNonDate="0" containsString="0" containsBlank="1"/>
    </cacheField>
    <cacheField name="Tot Cancellation" numFmtId="168">
      <sharedItems containsSemiMixedTypes="0" containsString="0" containsNumber="1" containsInteger="1" minValue="0" maxValue="56997"/>
    </cacheField>
    <cacheField name="Cancellation %" numFmtId="169">
      <sharedItems containsSemiMixedTypes="0" containsString="0" containsNumber="1" minValue="0" maxValue="1.4210892001639754"/>
    </cacheField>
    <cacheField name="ToT Reorders" numFmtId="168">
      <sharedItems containsSemiMixedTypes="0" containsString="0" containsNumber="1" containsInteger="1" minValue="0" maxValue="54013"/>
    </cacheField>
    <cacheField name="Reorder %" numFmtId="169">
      <sharedItems containsSemiMixedTypes="0" containsString="0" containsNumber="1" minValue="0" maxValue="1.069"/>
    </cacheField>
    <cacheField name="ToT Stock Clearance" numFmtId="168">
      <sharedItems containsSemiMixedTypes="0" containsString="0" containsNumber="1" containsInteger="1" minValue="0" maxValue="3275"/>
    </cacheField>
    <cacheField name="Tot Stock Clearance %" numFmtId="169">
      <sharedItems containsSemiMixedTypes="0" containsString="0" containsNumber="1" minValue="0" maxValue="0.38763196904868541"/>
    </cacheField>
    <cacheField name="ToT Retruns" numFmtId="168">
      <sharedItems containsSemiMixedTypes="0" containsString="0" containsNumber="1" containsInteger="1" minValue="0" maxValue="5113"/>
    </cacheField>
    <cacheField name="Tot Returns %" numFmtId="169">
      <sharedItems containsSemiMixedTypes="0" containsString="0" containsNumber="1" minValue="0" maxValue="42000000000"/>
    </cacheField>
    <cacheField name="FC Cancellation Mix %Shoes" numFmtId="9">
      <sharedItems containsSemiMixedTypes="0" containsString="0" containsNumber="1" minValue="0.03" maxValue="0.1"/>
    </cacheField>
    <cacheField name="Re-Order Rate % FC" numFmtId="9">
      <sharedItems containsSemiMixedTypes="0" containsString="0" containsNumber="1" minValue="0.15" maxValue="0.3"/>
    </cacheField>
    <cacheField name="Stock Clearance Rate %2" numFmtId="9">
      <sharedItems containsSemiMixedTypes="0" containsString="0" containsNumber="1" minValue="0.01" maxValue="0.01"/>
    </cacheField>
    <cacheField name="Returns Rate %2" numFmtId="9">
      <sharedItems containsSemiMixedTypes="0" containsString="0" containsNumber="1" minValue="0.03" maxValue="0.03"/>
    </cacheField>
    <cacheField name="Exp Shoes PreOrder Growth Rate" numFmtId="9">
      <sharedItems containsSemiMixedTypes="0" containsString="0" containsNumber="1" minValue="0.1" maxValue="1"/>
    </cacheField>
    <cacheField name="Exp Apparel PreOrder Growth Rate" numFmtId="9">
      <sharedItems containsMixedTypes="1" containsNumber="1" minValue="0.1" maxValue="6.1949999999999994"/>
    </cacheField>
    <cacheField name="Tommaso's FC Q2 SS5 Net Sales FC Shoes" numFmtId="3">
      <sharedItems containsSemiMixedTypes="0" containsString="0" containsNumber="1" minValue="443.18181818181813" maxValue="317340.51724137925"/>
    </cacheField>
    <cacheField name="Exp YoY Shoes" numFmtId="0">
      <sharedItems containsMixedTypes="1" containsNumber="1" minValue="-0.27710843373493965" maxValue="2.0827067669172936"/>
    </cacheField>
    <cacheField name="Tommaso's FC Q2 SS5 Net Sales FC Apparel" numFmtId="3">
      <sharedItems containsSemiMixedTypes="0" containsString="0" containsNumber="1" minValue="139.25822253324003" maxValue="46592.161016949154"/>
    </cacheField>
    <cacheField name="Exp YoY Apparel" numFmtId="169">
      <sharedItems containsMixedTypes="1" containsNumber="1" minValue="1.2508686587908269E-2" maxValue="3.9397590361445776"/>
    </cacheField>
    <cacheField name="Actual Order Book Shoes " numFmtId="168">
      <sharedItems containsSemiMixedTypes="0" containsString="0" containsNumber="1" containsInteger="1" minValue="600" maxValue="256100"/>
    </cacheField>
    <cacheField name="Actual Order Book Apparel " numFmtId="168">
      <sharedItems containsSemiMixedTypes="0" containsString="0" containsNumber="1" containsInteger="1" minValue="0" maxValue="30324"/>
    </cacheField>
    <cacheField name="Deviation from Tommaso's suggestion Shoes" numFmtId="0">
      <sharedItems containsSemiMixedTypes="0" containsString="0" containsNumber="1" minValue="-0.80769230769230771" maxValue="29.2"/>
    </cacheField>
    <cacheField name="Deviation from Tommaso's suggestion Apparel" numFmtId="0">
      <sharedItems containsSemiMixedTypes="0" containsString="0" containsNumber="1" minValue="-1" maxValue="7.0181489399608061"/>
    </cacheField>
    <cacheField name="YoY on Net Sales Shoes" numFmtId="169">
      <sharedItems containsSemiMixedTypes="0" containsString="0" containsNumber="1" minValue="-0.7" maxValue="15099999999999"/>
    </cacheField>
    <cacheField name="YoY on Net Sales Apparel" numFmtId="9">
      <sharedItems containsMixedTypes="1" containsNumber="1" minValue="-1" maxValue="7.42333333333333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</r>
  <r>
    <x v="1"/>
    <x v="1"/>
    <x v="1"/>
  </r>
  <r>
    <x v="2"/>
    <x v="2"/>
    <x v="2"/>
  </r>
  <r>
    <x v="3"/>
    <x v="1"/>
    <x v="3"/>
  </r>
  <r>
    <x v="4"/>
    <x v="2"/>
    <x v="4"/>
  </r>
  <r>
    <x v="5"/>
    <x v="1"/>
    <x v="5"/>
  </r>
  <r>
    <x v="6"/>
    <x v="1"/>
    <x v="6"/>
  </r>
  <r>
    <x v="7"/>
    <x v="1"/>
    <x v="7"/>
  </r>
  <r>
    <x v="8"/>
    <x v="0"/>
    <x v="8"/>
  </r>
  <r>
    <x v="9"/>
    <x v="1"/>
    <x v="9"/>
  </r>
  <r>
    <x v="10"/>
    <x v="0"/>
    <x v="10"/>
  </r>
  <r>
    <x v="11"/>
    <x v="2"/>
    <x v="11"/>
  </r>
  <r>
    <x v="12"/>
    <x v="1"/>
    <x v="12"/>
  </r>
  <r>
    <x v="13"/>
    <x v="2"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s v="Field Accounts"/>
    <x v="0"/>
    <n v="36200171"/>
    <n v="574000"/>
    <n v="63.066499999999998"/>
    <n v="20914156.900000006"/>
    <n v="279800"/>
    <n v="13700"/>
    <n v="34200"/>
    <n v="4300"/>
    <n v="-5600"/>
    <n v="1932331.324"/>
    <n v="41970"/>
    <n v="3456"/>
    <n v="546"/>
    <n v="4300"/>
    <n v="-1200"/>
    <n v="115000"/>
    <n v="20342"/>
    <n v="134200"/>
    <n v="312700"/>
    <n v="17432"/>
    <n v="2002901.324"/>
    <n v="-1868927.324"/>
    <n v="40372"/>
    <m/>
    <n v="22846488.224000007"/>
    <n v="19910094.050000001"/>
    <n v="0.14748268725531233"/>
    <n v="0.24555638930561119"/>
    <n v="362"/>
    <m/>
    <n v="18274151.368065812"/>
    <n v="0.14446665559242433"/>
    <n v="0.24555638930561116"/>
    <n v="354.74710322332999"/>
    <m/>
    <n v="1635942.6819341884"/>
    <n v="0.18117299911472995"/>
    <n v="0.32548010987806159"/>
    <n v="589.68207658800259"/>
  </r>
  <r>
    <x v="0"/>
    <x v="1"/>
    <s v="Field Accounts"/>
    <x v="0"/>
    <n v="8700222.5999999996"/>
    <n v="142200"/>
    <n v="61.183"/>
    <n v="5702536"/>
    <n v="82100"/>
    <n v="2500"/>
    <n v="6600"/>
    <n v="600"/>
    <n v="-1300"/>
    <n v="563848.70799999998"/>
    <n v="12315"/>
    <n v="375"/>
    <n v="674"/>
    <n v="600"/>
    <n v="-200"/>
    <n v="24900"/>
    <n v="2435"/>
    <n v="28300"/>
    <n v="88000"/>
    <n v="602563.70799999998"/>
    <n v="581463.70799999998"/>
    <n v="52079"/>
    <n v="12064"/>
    <m/>
    <n v="6266384.7079999996"/>
    <n v="4785122.4300000006"/>
    <n v="0.30955577410377755"/>
    <n v="5.9016164531683485E-2"/>
    <n v="183"/>
    <m/>
    <n v="4391945.6824739063"/>
    <n v="0.29840767902845755"/>
    <n v="5.9016164531683471E-2"/>
    <n v="176.10876683061241"/>
    <m/>
    <n v="393176.74752609426"/>
    <n v="0.43408457277239831"/>
    <n v="7.8224752248037585E-2"/>
    <n v="339.56158159816096"/>
  </r>
  <r>
    <x v="1"/>
    <x v="2"/>
    <s v="Field Accounts"/>
    <x v="0"/>
    <n v="6317520"/>
    <n v="105600"/>
    <n v="59.825000000000003"/>
    <n v="3873149"/>
    <n v="48600"/>
    <n v="6100"/>
    <n v="4200"/>
    <n v="15000"/>
    <n v="-1700"/>
    <n v="748052.58000000007"/>
    <n v="6804.0000000000009"/>
    <n v="854.00000000000011"/>
    <n v="234"/>
    <n v="15000"/>
    <n v="-345"/>
    <n v="33600"/>
    <n v="3564"/>
    <n v="45000"/>
    <n v="66100"/>
    <n v="783156.58000000007"/>
    <n v="757356.58000000007"/>
    <n v="42996"/>
    <n v="6192.0000000000009"/>
    <m/>
    <n v="4621201.58"/>
    <n v="3474636.0000000005"/>
    <n v="0.3299814944644559"/>
    <n v="4.2853593165788774E-2"/>
    <n v="141"/>
    <m/>
    <n v="3189137.3317209785"/>
    <n v="0.21448172252585396"/>
    <n v="4.2853593165788767E-2"/>
    <n v="91.913124786205373"/>
    <m/>
    <n v="285498.66827902209"/>
    <n v="1.6201613636562295"/>
    <n v="5.680158537805946E-2"/>
    <n v="920.27734023952564"/>
  </r>
  <r>
    <x v="0"/>
    <x v="3"/>
    <s v="Field Accounts"/>
    <x v="0"/>
    <n v="4711869.5999999996"/>
    <n v="63600"/>
    <n v="74.085999999999999"/>
    <n v="3328955.9999999995"/>
    <n v="42400"/>
    <n v="1900"/>
    <n v="4600"/>
    <n v="0"/>
    <n v="-5900"/>
    <n v="338168.45199999993"/>
    <n v="8480"/>
    <n v="432"/>
    <n v="234"/>
    <n v="0"/>
    <n v="-2005"/>
    <n v="8700"/>
    <n v="30324"/>
    <n v="5500"/>
    <n v="41100"/>
    <n v="346248.45199999993"/>
    <n v="345348.45199999993"/>
    <n v="17226"/>
    <n v="3246"/>
    <m/>
    <n v="3667124.4519999996"/>
    <n v="2591528.2799999998"/>
    <n v="0.41504319296874503"/>
    <n v="3.1961995037395663E-2"/>
    <n v="133"/>
    <m/>
    <n v="2378591.4794984725"/>
    <n v="0.39954928313369398"/>
    <n v="3.1961995037395656E-2"/>
    <n v="127.70392204714119"/>
    <m/>
    <n v="212936.80050152721"/>
    <n v="0.58811652661031943"/>
    <n v="4.2364988694089264E-2"/>
    <n v="249.15550000653232"/>
  </r>
  <r>
    <x v="2"/>
    <x v="4"/>
    <s v="Axiom Street"/>
    <x v="1"/>
    <n v="2424493.25"/>
    <n v="42500"/>
    <n v="57.046900000000001"/>
    <n v="1805037"/>
    <n v="29200"/>
    <n v="2900"/>
    <n v="600"/>
    <n v="0"/>
    <n v="0"/>
    <n v="286846.98840000003"/>
    <n v="6132"/>
    <n v="623"/>
    <n v="306.60000000000002"/>
    <n v="0"/>
    <n v="0"/>
    <n v="21900"/>
    <n v="2345"/>
    <n v="19600"/>
    <n v="29800"/>
    <n v="312578.98840000003"/>
    <n v="293578.98840000003"/>
    <n v="32793.599999999999"/>
    <n v="7061.6"/>
    <m/>
    <n v="2091883.9884000001"/>
    <n v="1333471.2875000001"/>
    <n v="0.56875067953047331"/>
    <n v="1.6446049615782936E-2"/>
    <n v="94"/>
    <m/>
    <n v="1223904.6230293727"/>
    <n v="0.47481835270155748"/>
    <n v="1.6446049615782932E-2"/>
    <n v="78.088861870141344"/>
    <m/>
    <n v="109566.66447062741"/>
    <n v="1.618013332667418"/>
    <n v="2.1798911651788017E-2"/>
    <n v="352.70929690232134"/>
  </r>
  <r>
    <x v="2"/>
    <x v="4"/>
    <s v="Vault"/>
    <x v="2"/>
    <n v="16282749.999999998"/>
    <n v="275000"/>
    <n v="59.209999999999994"/>
    <n v="9595260"/>
    <n v="156500"/>
    <n v="10000"/>
    <n v="5000"/>
    <n v="0"/>
    <n v="0"/>
    <n v="0"/>
    <n v="0"/>
    <n v="0"/>
    <n v="0"/>
    <n v="0"/>
    <n v="0"/>
    <n v="124000"/>
    <n v="0"/>
    <n v="119000"/>
    <n v="161500"/>
    <n v="119000"/>
    <n v="5000"/>
    <n v="119000"/>
    <n v="0"/>
    <m/>
    <n v="9595260"/>
    <n v="8955512.5"/>
    <n v="7.1436168505152553E-2"/>
    <n v="0.11045067433427153"/>
    <n v="79"/>
    <m/>
    <n v="8219669.4095277498"/>
    <n v="0.16735351775556184"/>
    <n v="0.1104506743342715"/>
    <n v="184.84308888314285"/>
    <m/>
    <n v="735843.09047224955"/>
    <n v="-1"/>
    <n v="0.14640017195269622"/>
    <n v="-1464.0017195269622"/>
  </r>
  <r>
    <x v="0"/>
    <x v="0"/>
    <s v="Hanover &amp; Hearth "/>
    <x v="1"/>
    <n v="5464828.25"/>
    <n v="103300"/>
    <n v="52.902500000000003"/>
    <n v="3075537.125"/>
    <n v="54600"/>
    <n v="4123"/>
    <n v="2567"/>
    <n v="734"/>
    <n v="-3455"/>
    <n v="566532.48699999996"/>
    <n v="13650"/>
    <n v="2345"/>
    <n v="682.5"/>
    <n v="734"/>
    <n v="-1534"/>
    <n v="14800"/>
    <n v="4095"/>
    <n v="10523"/>
    <n v="54446"/>
    <n v="586516.48699999996"/>
    <n v="579294.48699999996"/>
    <n v="36661.5"/>
    <n v="13222.5"/>
    <m/>
    <n v="3642069.6119999997"/>
    <n v="3005655.5375000001"/>
    <n v="0.21173885914729507"/>
    <n v="3.70695346506872E-2"/>
    <n v="78"/>
    <m/>
    <n v="2758691.3509602537"/>
    <n v="0.11485365114493784"/>
    <n v="3.7069534650687193E-2"/>
    <n v="42.575714008752122"/>
    <m/>
    <n v="246964.18653974638"/>
    <n v="1.2939864072510865"/>
    <n v="4.9134930861921486E-2"/>
    <n v="635.79932656548306"/>
  </r>
  <r>
    <x v="3"/>
    <x v="5"/>
    <s v="Field Accounts"/>
    <x v="0"/>
    <n v="1304135.04"/>
    <n v="20800"/>
    <n v="62.698799999999999"/>
    <n v="871807"/>
    <n v="13000"/>
    <n v="100"/>
    <n v="500"/>
    <n v="0"/>
    <n v="0"/>
    <n v="45207.118000000002"/>
    <n v="1040"/>
    <n v="8"/>
    <n v="0.4"/>
    <n v="0"/>
    <n v="0"/>
    <n v="3300"/>
    <n v="345"/>
    <n v="3700"/>
    <n v="13500"/>
    <n v="49947.118000000002"/>
    <n v="46747.118000000002"/>
    <n v="5788.4"/>
    <n v="1048.4000000000001"/>
    <m/>
    <n v="917014.11800000002"/>
    <n v="717274.27200000011"/>
    <n v="0.2784706684697591"/>
    <n v="8.8463309079210937E-3"/>
    <n v="25"/>
    <m/>
    <n v="658338.35772097774"/>
    <n v="0.32425369078903987"/>
    <n v="8.8463309079210919E-3"/>
    <n v="28.684554468345723"/>
    <m/>
    <n v="58935.914279022334"/>
    <n v="-0.23294448634538212"/>
    <n v="1.1725635663848944E-2"/>
    <n v="-27.314221767883858"/>
  </r>
  <r>
    <x v="1"/>
    <x v="6"/>
    <s v="Field Accounts"/>
    <x v="0"/>
    <n v="10404450"/>
    <n v="157500"/>
    <n v="66.06"/>
    <n v="5451235.7759999996"/>
    <n v="72200"/>
    <n v="17700"/>
    <n v="8500"/>
    <n v="4452"/>
    <n v="-4900"/>
    <n v="467854.39200000005"/>
    <n v="7220"/>
    <n v="1236"/>
    <n v="234"/>
    <n v="4452"/>
    <n v="-275"/>
    <n v="30700"/>
    <n v="1231"/>
    <n v="21052"/>
    <n v="80252"/>
    <n v="486774.39200000005"/>
    <n v="478674.39200000005"/>
    <n v="27610"/>
    <n v="3790"/>
    <m/>
    <n v="5919090.1679999996"/>
    <n v="5722447.5"/>
    <n v="3.4363385247308864E-2"/>
    <n v="7.0576439396122362E-2"/>
    <n v="24"/>
    <m/>
    <n v="5252254.0349732693"/>
    <n v="3.7885018451462527E-2"/>
    <n v="7.0576439396122348E-2"/>
    <n v="26.737897087606221"/>
    <m/>
    <n v="470193.46502673056"/>
    <n v="-4.9747033949048003E-3"/>
    <n v="9.3547666645574623E-2"/>
    <n v="-4.6537189484716261"/>
  </r>
  <r>
    <x v="1"/>
    <x v="2"/>
    <s v="Vanguard Wilds"/>
    <x v="3"/>
    <n v="341388.00000000006"/>
    <n v="5800"/>
    <n v="58.860000000000007"/>
    <n v="229292"/>
    <n v="3800"/>
    <n v="500"/>
    <n v="0"/>
    <n v="0"/>
    <n v="0"/>
    <n v="17229.2"/>
    <n v="380"/>
    <n v="23"/>
    <n v="0"/>
    <n v="0"/>
    <n v="0"/>
    <n v="600"/>
    <n v="0"/>
    <n v="100"/>
    <n v="3800"/>
    <n v="17709.2"/>
    <n v="17609.2"/>
    <n v="883"/>
    <n v="403"/>
    <m/>
    <n v="246521.2"/>
    <n v="187763.40000000005"/>
    <n v="0.31293532179327777"/>
    <n v="2.3157350453472726E-3"/>
    <n v="7"/>
    <m/>
    <n v="172335.53916751535"/>
    <n v="0.33049747665292206"/>
    <n v="2.3157350453472721E-3"/>
    <n v="7.6534458908401346"/>
    <m/>
    <n v="15427.86083248471"/>
    <n v="0.11675884214112253"/>
    <n v="3.0694607423553807E-3"/>
    <n v="3.5838668227504464"/>
  </r>
  <r>
    <x v="1"/>
    <x v="7"/>
    <s v="Field Accounts"/>
    <x v="0"/>
    <n v="907754.39999999991"/>
    <n v="12600"/>
    <n v="72.043999999999997"/>
    <n v="456297.6"/>
    <n v="5400"/>
    <n v="1500"/>
    <n v="600"/>
    <n v="0"/>
    <n v="-100"/>
    <n v="43184.408000000003"/>
    <n v="864"/>
    <n v="424"/>
    <n v="23"/>
    <n v="0"/>
    <n v="0"/>
    <n v="2200"/>
    <n v="2345"/>
    <n v="1200"/>
    <n v="5900"/>
    <n v="45148.408000000003"/>
    <n v="44548.408000000003"/>
    <n v="3275"/>
    <n v="1211"/>
    <m/>
    <n v="499482.00799999997"/>
    <n v="499264.92"/>
    <n v="4.348152479849432E-4"/>
    <n v="6.1575646380311712E-3"/>
    <n v="0"/>
    <m/>
    <n v="458242.07047606929"/>
    <n v="-4.2433259653553712E-3"/>
    <n v="6.1575646380311704E-3"/>
    <n v="-0.26128553911911712"/>
    <m/>
    <n v="41022.849523930701"/>
    <n v="5.269157313921724E-2"/>
    <n v="8.1617294529988237E-3"/>
    <n v="4.3005436441519107"/>
  </r>
  <r>
    <x v="3"/>
    <x v="8"/>
    <s v="Agora Athletics"/>
    <x v="3"/>
    <n v="115984.40000000001"/>
    <n v="2000"/>
    <n v="57.992200000000004"/>
    <n v="59430"/>
    <n v="1000"/>
    <n v="0"/>
    <n v="0"/>
    <n v="0"/>
    <n v="0"/>
    <n v="5722.64"/>
    <n v="110"/>
    <n v="0"/>
    <n v="12"/>
    <n v="0"/>
    <n v="0"/>
    <n v="900"/>
    <n v="0"/>
    <n v="900"/>
    <n v="1000"/>
    <n v="6732.64"/>
    <n v="5832.64"/>
    <n v="1132"/>
    <n v="122"/>
    <m/>
    <n v="65152.639999999999"/>
    <n v="63791.420000000013"/>
    <n v="2.1338606351763101E-2"/>
    <n v="7.8675624155968035E-4"/>
    <n v="0"/>
    <m/>
    <n v="58549.902483452155"/>
    <n v="1.5031579545270457E-2"/>
    <n v="7.8675624155968025E-4"/>
    <n v="0.11826189027742352"/>
    <m/>
    <n v="5241.5175165478558"/>
    <n v="9.179068503218879E-2"/>
    <n v="1.042829749509776E-3"/>
    <n v="0.95722057079448175"/>
  </r>
  <r>
    <x v="1"/>
    <x v="7"/>
    <s v="Nordic Nord"/>
    <x v="3"/>
    <n v="488567.68000000081"/>
    <n v="8000"/>
    <n v="61.070960000000099"/>
    <n v="197803.48000000033"/>
    <n v="1700"/>
    <n v="0"/>
    <n v="1300"/>
    <n v="0"/>
    <n v="0"/>
    <n v="11462.080000000025"/>
    <n v="238.00000000000003"/>
    <n v="0"/>
    <n v="0"/>
    <n v="0"/>
    <n v="0"/>
    <n v="3300"/>
    <n v="50"/>
    <n v="4600"/>
    <n v="3000"/>
    <n v="16300.080000000025"/>
    <n v="13000.080000000025"/>
    <n v="5076"/>
    <n v="238.00000000000003"/>
    <m/>
    <n v="209265.56000000035"/>
    <n v="268712.22400000045"/>
    <n v="-0.22122798551955714"/>
    <n v="3.3140980309794522E-3"/>
    <n v="-7"/>
    <m/>
    <n v="246633.08186761755"/>
    <n v="-0.19798480194894108"/>
    <n v="3.3140980309794518E-3"/>
    <n v="-6.5614104230284243"/>
    <m/>
    <n v="22079.142132382902"/>
    <n v="-0.48086388813137393"/>
    <n v="4.3927710222493119E-3"/>
    <n v="-21.123249534296342"/>
  </r>
  <r>
    <x v="3"/>
    <x v="8"/>
    <s v="Field Accounts"/>
    <x v="0"/>
    <n v="6067988.4199999999"/>
    <n v="102700"/>
    <n v="59.084600000000002"/>
    <n v="3055283.4"/>
    <n v="39300"/>
    <n v="3100"/>
    <n v="9400"/>
    <n v="100"/>
    <n v="-700"/>
    <n v="219582.07900000003"/>
    <n v="5502.0000000000009"/>
    <n v="654"/>
    <n v="23"/>
    <n v="100"/>
    <n v="0"/>
    <n v="20200"/>
    <n v="1675"/>
    <n v="25900"/>
    <n v="48100"/>
    <n v="250184.07900000003"/>
    <n v="233784.07900000003"/>
    <n v="36781"/>
    <n v="5479.0000000000009"/>
    <m/>
    <n v="3274865.4789999998"/>
    <n v="3337393.6310000001"/>
    <n v="-1.8735623936953605E-2"/>
    <n v="4.1160947188991472E-2"/>
    <n v="-8"/>
    <m/>
    <n v="3063171.6874141423"/>
    <n v="-2.57520250874399E-3"/>
    <n v="4.1160947188991465E-2"/>
    <n v="-1.0599777446336971"/>
    <m/>
    <n v="274221.94358585757"/>
    <n v="-0.19925416570009125"/>
    <n v="5.45580168027495E-2"/>
    <n v="-108.70912120283411"/>
  </r>
  <r>
    <x v="1"/>
    <x v="7"/>
    <s v="Omni-Arena"/>
    <x v="3"/>
    <n v="469314.43200000067"/>
    <n v="7200"/>
    <n v="65.182560000000095"/>
    <n v="160204.7500000002"/>
    <n v="2300"/>
    <n v="800"/>
    <n v="100"/>
    <n v="0"/>
    <n v="0"/>
    <n v="10672.71300000002"/>
    <n v="207"/>
    <n v="72"/>
    <n v="0"/>
    <n v="0"/>
    <n v="0"/>
    <n v="1900"/>
    <n v="75"/>
    <n v="1200"/>
    <n v="2400"/>
    <n v="12079.71300000002"/>
    <n v="10979.71300000002"/>
    <n v="1686"/>
    <n v="279"/>
    <m/>
    <n v="170877.46300000022"/>
    <n v="258122.93760000038"/>
    <n v="-0.33799969662207974"/>
    <n v="3.1834975964874297E-3"/>
    <n v="-11"/>
    <m/>
    <n v="236913.88003625293"/>
    <n v="-0.32378487079150697"/>
    <n v="3.1834975964874293E-3"/>
    <n v="-10.307683579437551"/>
    <m/>
    <n v="21209.057563747458"/>
    <n v="-0.49678513682555903"/>
    <n v="4.219662743988703E-3"/>
    <n v="-20.962657336301419"/>
  </r>
  <r>
    <x v="2"/>
    <x v="4"/>
    <s v="Strike-Point"/>
    <x v="3"/>
    <n v="1176055.1600000001"/>
    <n v="21200"/>
    <n v="55.474300000000007"/>
    <n v="478890"/>
    <n v="8500"/>
    <n v="0"/>
    <n v="0"/>
    <n v="0"/>
    <n v="0"/>
    <n v="54642.25"/>
    <n v="1105"/>
    <n v="0"/>
    <n v="0"/>
    <n v="0"/>
    <n v="0"/>
    <n v="2400"/>
    <n v="123"/>
    <n v="2400"/>
    <n v="8500"/>
    <n v="58147.25"/>
    <n v="55747.25"/>
    <n v="4610"/>
    <n v="1105"/>
    <m/>
    <n v="533532.25"/>
    <n v="646830.33800000011"/>
    <n v="-0.17515889614936409"/>
    <n v="7.9775274739401891E-3"/>
    <n v="-14"/>
    <m/>
    <n v="593682.55500878324"/>
    <n v="-0.1933567931890553"/>
    <n v="7.9775274739401873E-3"/>
    <n v="-15.425091299386596"/>
    <m/>
    <n v="53147.782991216845"/>
    <n v="2.8119084647992398E-2"/>
    <n v="1.0574053992713498E-2"/>
    <n v="2.9733271929355287"/>
  </r>
  <r>
    <x v="1"/>
    <x v="9"/>
    <s v="Velocity Labs"/>
    <x v="3"/>
    <n v="1809249.0000000002"/>
    <n v="29900"/>
    <n v="60.510000000000005"/>
    <n v="786870"/>
    <n v="12600"/>
    <n v="500"/>
    <n v="0"/>
    <n v="0"/>
    <n v="0"/>
    <n v="55320.54"/>
    <n v="1260"/>
    <n v="50"/>
    <n v="12"/>
    <n v="0"/>
    <n v="0"/>
    <n v="10400"/>
    <n v="213"/>
    <n v="9900"/>
    <n v="12600"/>
    <n v="66480.540000000008"/>
    <n v="56580.54"/>
    <n v="12482.000000000007"/>
    <n v="1322"/>
    <m/>
    <n v="842190.54"/>
    <n v="995086.95000000019"/>
    <n v="-0.15365130655165371"/>
    <n v="1.2272667214604811E-2"/>
    <n v="-19"/>
    <m/>
    <n v="913324.14116280572"/>
    <n v="-0.13845483269697623"/>
    <n v="1.2272667214604807E-2"/>
    <n v="-16.992100859437738"/>
    <m/>
    <n v="81762.808837194403"/>
    <n v="-0.32340215818473261"/>
    <n v="1.6267176288111265E-2"/>
    <n v="-52.608399191466908"/>
  </r>
  <r>
    <x v="3"/>
    <x v="8"/>
    <s v="Aurelian &amp; Co."/>
    <x v="1"/>
    <n v="4762982.7360000089"/>
    <n v="78300"/>
    <n v="60.829920000000115"/>
    <n v="2102250.3000000035"/>
    <n v="28400"/>
    <n v="400"/>
    <n v="4000"/>
    <n v="0"/>
    <n v="-100"/>
    <n v="323066.32200000063"/>
    <n v="6532"/>
    <n v="54"/>
    <n v="20"/>
    <n v="0"/>
    <n v="0"/>
    <n v="10700"/>
    <n v="1532"/>
    <n v="14200"/>
    <n v="32300"/>
    <n v="343698.32200000063"/>
    <n v="333498.32200000063"/>
    <n v="27238"/>
    <n v="6506"/>
    <m/>
    <n v="2425316.6220000042"/>
    <n v="2619640.5048000049"/>
    <n v="-7.4179599240406513E-2"/>
    <n v="3.230871044717229E-2"/>
    <n v="-24"/>
    <m/>
    <n v="2404393.8212653305"/>
    <n v="-0.12566307507241958"/>
    <n v="3.2308710447172283E-2"/>
    <n v="-40.600119064160772"/>
    <m/>
    <n v="215246.68353467426"/>
    <n v="0.50091196154461359"/>
    <n v="4.2824553073536401E-2"/>
    <n v="214.51330882336526"/>
  </r>
  <r>
    <x v="1"/>
    <x v="9"/>
    <s v="Swift-Pulse"/>
    <x v="2"/>
    <n v="1001816.6400000016"/>
    <n v="16500"/>
    <n v="60.716160000000102"/>
    <n v="229781.10000000038"/>
    <n v="3900"/>
    <n v="0"/>
    <n v="0"/>
    <n v="0"/>
    <n v="-200"/>
    <n v="16506.477000000035"/>
    <n v="351"/>
    <n v="0"/>
    <n v="0"/>
    <n v="0"/>
    <n v="0"/>
    <n v="2300"/>
    <n v="324"/>
    <n v="2100"/>
    <n v="3700"/>
    <n v="18757.477000000035"/>
    <n v="16657.477000000035"/>
    <n v="2602"/>
    <n v="151"/>
    <m/>
    <n v="246287.57700000043"/>
    <n v="550999.15200000093"/>
    <n v="-0.55301641371673105"/>
    <n v="6.7956164313334256E-3"/>
    <n v="-38"/>
    <m/>
    <n v="505725.4818604897"/>
    <n v="-0.54564065240559068"/>
    <n v="6.7956164313334238E-3"/>
    <n v="-37.079645830909215"/>
    <m/>
    <n v="45273.670139511218"/>
    <n v="-0.63540669556642571"/>
    <n v="9.0074544140929889E-3"/>
    <n v="-57.233968447240414"/>
  </r>
  <r>
    <x v="1"/>
    <x v="6"/>
    <s v="Velvet &amp; Vice"/>
    <x v="2"/>
    <n v="1846642.5800000003"/>
    <n v="33400"/>
    <n v="55.288700000000006"/>
    <n v="594147.9"/>
    <n v="10342"/>
    <n v="6775"/>
    <n v="0"/>
    <n v="0"/>
    <n v="0"/>
    <n v="78930.910400000008"/>
    <n v="1758.14"/>
    <n v="234"/>
    <n v="12"/>
    <n v="0"/>
    <n v="0"/>
    <n v="15100"/>
    <n v="345"/>
    <n v="8325"/>
    <n v="10342"/>
    <n v="89014.050400000007"/>
    <n v="80689.050400000007"/>
    <n v="12087.279999999999"/>
    <n v="2004.14"/>
    <m/>
    <n v="673078.81040000007"/>
    <n v="1015653.4190000002"/>
    <n v="-0.33729479189593525"/>
    <n v="1.2526318847576668E-2"/>
    <n v="-42"/>
    <m/>
    <n v="932200.73545054765"/>
    <n v="-0.36263952879972916"/>
    <n v="1.2526318847576667E-2"/>
    <n v="-45.425383644803688"/>
    <m/>
    <n v="83452.683549452559"/>
    <n v="-5.4183675792439101E-2"/>
    <n v="1.6603386482453557E-2"/>
    <n v="-8.9963251022182948"/>
  </r>
  <r>
    <x v="1"/>
    <x v="9"/>
    <s v="Field Accounts"/>
    <x v="0"/>
    <n v="7911060.0000000009"/>
    <n v="118500"/>
    <n v="66.760000000000005"/>
    <n v="3287347.1999999997"/>
    <n v="39300"/>
    <n v="6300"/>
    <n v="5600"/>
    <n v="2600"/>
    <n v="-1200"/>
    <n v="468849.66000000003"/>
    <n v="7860"/>
    <n v="345"/>
    <n v="230"/>
    <n v="2600"/>
    <n v="-234"/>
    <n v="21000"/>
    <n v="1238"/>
    <n v="21700"/>
    <n v="46300"/>
    <n v="494609.66000000003"/>
    <n v="481109.66000000003"/>
    <n v="34195"/>
    <n v="7235"/>
    <m/>
    <n v="3756196.86"/>
    <n v="4351083.0000000009"/>
    <n v="-0.13672139556979279"/>
    <n v="5.3663042895019719E-2"/>
    <n v="-73"/>
    <m/>
    <n v="3993569.7519730153"/>
    <n v="-0.17683991912852093"/>
    <n v="5.3663042895019705E-2"/>
    <n v="-94.897681657456346"/>
    <m/>
    <n v="357513.24802698533"/>
    <n v="0.31141898261798384"/>
    <n v="7.1129295992881869E-2"/>
    <n v="221.51012992436708"/>
  </r>
  <r>
    <x v="1"/>
    <x v="6"/>
    <s v="Titan Sport"/>
    <x v="3"/>
    <n v="2912567.1240000045"/>
    <n v="45300"/>
    <n v="64.295080000000098"/>
    <n v="903579.24000000139"/>
    <n v="15200"/>
    <n v="2560"/>
    <n v="200"/>
    <n v="0"/>
    <n v="-1600"/>
    <n v="55539.19640000011"/>
    <n v="1064"/>
    <n v="179.20000000000002"/>
    <n v="34"/>
    <n v="0"/>
    <n v="0"/>
    <n v="24800"/>
    <n v="2345"/>
    <n v="20840"/>
    <n v="13800"/>
    <n v="75843.196400000103"/>
    <n v="55203.19640000011"/>
    <n v="21581.199999999993"/>
    <n v="-322.79999999999995"/>
    <m/>
    <n v="959118.43640000152"/>
    <n v="1601911.9182000025"/>
    <n v="-0.40126643325201028"/>
    <n v="1.975679801566875E-2"/>
    <n v="-79"/>
    <m/>
    <n v="1470288.4274670468"/>
    <n v="-0.38544082703782756"/>
    <n v="1.9756798015668747E-2"/>
    <n v="-76.150765667786715"/>
    <m/>
    <n v="131623.49073295575"/>
    <n v="-0.57804495162128178"/>
    <n v="2.6187242804647286E-2"/>
    <n v="-151.37403500107098"/>
  </r>
  <r>
    <x v="2"/>
    <x v="4"/>
    <s v="Scale"/>
    <x v="2"/>
    <n v="25799200"/>
    <n v="476000"/>
    <n v="54.2"/>
    <n v="12384334.199999999"/>
    <n v="205000"/>
    <n v="30000"/>
    <n v="9300"/>
    <n v="0"/>
    <n v="0"/>
    <n v="1086705"/>
    <n v="30750"/>
    <n v="3453"/>
    <n v="0"/>
    <n v="0"/>
    <n v="0"/>
    <n v="256100"/>
    <n v="25435"/>
    <n v="235400"/>
    <n v="214300"/>
    <n v="1352855"/>
    <n v="1126755"/>
    <n v="300353"/>
    <n v="34203"/>
    <m/>
    <n v="13471039.199999999"/>
    <n v="14189560.000000002"/>
    <n v="-5.0637285440845448E-2"/>
    <n v="0.17500354898802342"/>
    <n v="-89"/>
    <m/>
    <n v="13023653.561608965"/>
    <n v="-4.9089094591209581E-2"/>
    <n v="0.17500354898802339"/>
    <n v="-85.907657700704604"/>
    <m/>
    <n v="1165906.4383910373"/>
    <n v="-6.793121281698733E-2"/>
    <n v="0.23196372334169602"/>
    <n v="-157.575770561455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s v="Europe"/>
    <x v="0"/>
    <s v="Core"/>
    <n v="213400"/>
    <n v="6.0999999999999999E-2"/>
    <n v="0"/>
    <n v="0"/>
    <n v="1.0999999999999999E-2"/>
    <n v="24300"/>
    <n v="7.2999999999999995E-2"/>
    <n v="3.9E-2"/>
    <n v="0"/>
    <n v="2.1999999999999999E-2"/>
    <m/>
    <n v="229956.89655172412"/>
    <n v="25741.525423728814"/>
    <n v="237700"/>
    <n v="255698.42197545292"/>
    <n v="14027"/>
    <n v="0"/>
    <n v="0"/>
    <n v="2530"/>
    <n v="1879"/>
    <n v="1004"/>
    <n v="0"/>
    <n v="0"/>
    <n v="0.11387066541705718"/>
    <m/>
    <n v="15906"/>
    <n v="6.2206093714285725E-2"/>
    <n v="1004"/>
    <n v="4.223811527135044E-3"/>
    <n v="0"/>
    <n v="0"/>
    <n v="2530"/>
    <n v="9.8944685714285729E-3"/>
    <n v="0.06"/>
    <n v="0.15"/>
    <n v="0.01"/>
    <n v="0.03"/>
    <n v="0.25"/>
    <n v="0.68"/>
    <n v="317340.51724137925"/>
    <n v="0.4870689655172411"/>
    <n v="46592.161016949154"/>
    <n v="0.91737288135593231"/>
    <n v="256100"/>
    <n v="25435"/>
    <n v="-0.19298045447754086"/>
    <n v="-0.45409271764090675"/>
    <n v="0.20009372071227749"/>
    <n v="4.6707818930041167E-2"/>
  </r>
  <r>
    <x v="1"/>
    <s v="Germany"/>
    <x v="1"/>
    <m/>
    <n v="171000"/>
    <n v="0.10299999999999999"/>
    <n v="0.39200000000000002"/>
    <n v="0.02"/>
    <n v="1.9E-2"/>
    <n v="6500"/>
    <n v="0.17399999999999999"/>
    <n v="0.33300000000000002"/>
    <n v="0"/>
    <n v="0.10299999999999999"/>
    <m/>
    <n v="132558.1395348837"/>
    <n v="6155.30303030303"/>
    <n v="177500"/>
    <n v="138713.44256518674"/>
    <n v="13653"/>
    <n v="51963"/>
    <n v="2651"/>
    <n v="2519"/>
    <n v="1071"/>
    <n v="2050"/>
    <n v="0"/>
    <n v="0"/>
    <n v="3.8011695906432746E-2"/>
    <m/>
    <n v="14724"/>
    <n v="0.10614688618286314"/>
    <n v="54013"/>
    <n v="0.30429859154929578"/>
    <n v="2651"/>
    <n v="1.9111341705431283E-2"/>
    <n v="2519"/>
    <n v="1.8159739628812295E-2"/>
    <n v="0.1"/>
    <n v="0.15"/>
    <n v="0.01"/>
    <n v="0.03"/>
    <n v="0.25"/>
    <n v="0.68"/>
    <n v="177627.90697674413"/>
    <n v="3.8759689922480245E-2"/>
    <n v="10894.886363636364"/>
    <n v="0.67613636363636376"/>
    <n v="115000"/>
    <n v="20342"/>
    <n v="-0.35257920921707231"/>
    <n v="0.86711447196870917"/>
    <n v="-0.32748538011695905"/>
    <n v="2.1295384615384614"/>
  </r>
  <r>
    <x v="0"/>
    <s v="Europe"/>
    <x v="2"/>
    <s v="Core"/>
    <n v="95400"/>
    <n v="9.2999999999999999E-2"/>
    <n v="1.7000000000000001E-2"/>
    <n v="0"/>
    <n v="4.7E-2"/>
    <n v="0"/>
    <n v="0"/>
    <n v="0"/>
    <n v="0"/>
    <n v="0"/>
    <m/>
    <n v="108779.93158494869"/>
    <n v="0"/>
    <n v="95400"/>
    <n v="108779.93158494869"/>
    <n v="10117"/>
    <n v="1849"/>
    <n v="0"/>
    <n v="5113"/>
    <n v="0"/>
    <n v="0"/>
    <n v="0"/>
    <n v="0"/>
    <n v="0"/>
    <m/>
    <n v="10117"/>
    <n v="9.3004287211740047E-2"/>
    <n v="1849"/>
    <n v="1.9381551362683439E-2"/>
    <n v="0"/>
    <n v="0"/>
    <n v="5113"/>
    <n v="4.7003155136268342E-2"/>
    <n v="0.06"/>
    <n v="0.15"/>
    <n v="0.01"/>
    <n v="0.03"/>
    <n v="0.25"/>
    <s v="NA"/>
    <n v="150116.30558722917"/>
    <n v="0.57354618015963488"/>
    <n v="10000"/>
    <s v="NA"/>
    <n v="124000"/>
    <n v="0"/>
    <n v="-0.17397380974083176"/>
    <n v="-1"/>
    <n v="0.29979035639412999"/>
    <s v=""/>
  </r>
  <r>
    <x v="2"/>
    <s v="United Kingdom"/>
    <x v="3"/>
    <s v="Monitor"/>
    <n v="36000"/>
    <n v="0.55300000000000005"/>
    <n v="0"/>
    <n v="0"/>
    <n v="4.8000000000000001E-2"/>
    <n v="2700"/>
    <n v="0.65500000000000003"/>
    <n v="0"/>
    <n v="0"/>
    <n v="9.6000000000000002E-2"/>
    <m/>
    <n v="90225.563909774442"/>
    <n v="10843.373493975903"/>
    <n v="38700"/>
    <n v="40107.967883665064"/>
    <n v="49895"/>
    <n v="0"/>
    <n v="0"/>
    <n v="4331"/>
    <n v="7102"/>
    <n v="0"/>
    <n v="0"/>
    <n v="0"/>
    <n v="7.4999999999999997E-2"/>
    <m/>
    <n v="56997"/>
    <n v="1.4210892001639754"/>
    <n v="0"/>
    <n v="0"/>
    <n v="0"/>
    <n v="0"/>
    <n v="4331"/>
    <n v="0.10798353116673119"/>
    <n v="0.06"/>
    <n v="0.15"/>
    <n v="0.01"/>
    <n v="0.03"/>
    <n v="0.1"/>
    <n v="0.1"/>
    <n v="110977.44360902256"/>
    <n v="2.0827067669172936"/>
    <n v="13337.34939759036"/>
    <n v="3.9397590361445776"/>
    <n v="24800"/>
    <n v="2345"/>
    <n v="-0.77653116531165312"/>
    <n v="-0.82417795844625108"/>
    <n v="-0.31111111111111112"/>
    <n v="-0.13148148148148153"/>
  </r>
  <r>
    <x v="2"/>
    <s v="United Kingdom"/>
    <x v="1"/>
    <m/>
    <n v="53300"/>
    <n v="0.107"/>
    <n v="0.189"/>
    <n v="0"/>
    <n v="9.4E-2"/>
    <n v="6100"/>
    <n v="8.1000000000000003E-2"/>
    <n v="0.15"/>
    <n v="0"/>
    <n v="3.3000000000000002E-2"/>
    <m/>
    <n v="53947.368421052626"/>
    <n v="5888.0308880308876"/>
    <n v="59400"/>
    <n v="96113.59479780533"/>
    <n v="5772"/>
    <n v="10196"/>
    <n v="0"/>
    <n v="5071"/>
    <n v="477"/>
    <n v="883"/>
    <n v="0"/>
    <n v="0"/>
    <n v="0.11444652908067542"/>
    <m/>
    <n v="6249"/>
    <n v="6.501681695649876E-2"/>
    <n v="11079"/>
    <n v="0.18651515151515152"/>
    <n v="0"/>
    <n v="0"/>
    <n v="5071"/>
    <n v="5.2760486283630212E-2"/>
    <n v="0.1"/>
    <n v="0.15"/>
    <n v="0.01"/>
    <n v="0.03"/>
    <n v="0.25"/>
    <n v="0.68"/>
    <n v="72289.473684210505"/>
    <n v="0.35627530364372428"/>
    <n v="10421.814671814671"/>
    <n v="0.7084942084942083"/>
    <n v="30700"/>
    <n v="1231"/>
    <n v="-0.57531852930469585"/>
    <n v="-0.88188237473372233"/>
    <n v="-0.42401500938086301"/>
    <n v="-0.79819672131147534"/>
  </r>
  <r>
    <x v="1"/>
    <s v="Austria"/>
    <x v="1"/>
    <m/>
    <n v="38600"/>
    <n v="3.5000000000000003E-2"/>
    <n v="0.36299999999999999"/>
    <n v="4.0000000000000001E-3"/>
    <n v="1.2999999999999999E-2"/>
    <n v="3500"/>
    <n v="5.8999999999999997E-2"/>
    <n v="0.25900000000000001"/>
    <n v="5.0999999999999997E-2"/>
    <n v="2.9000000000000001E-2"/>
    <m/>
    <n v="29264.594389689159"/>
    <n v="2864.1571194762687"/>
    <n v="42100"/>
    <n v="56811.525540528892"/>
    <n v="1024"/>
    <n v="10623"/>
    <n v="117"/>
    <n v="380"/>
    <n v="169"/>
    <n v="742"/>
    <n v="146"/>
    <n v="146"/>
    <n v="9.0673575129533682E-2"/>
    <m/>
    <n v="1193"/>
    <n v="2.0999260073537775E-2"/>
    <n v="11365"/>
    <n v="0.2699524940617577"/>
    <n v="263"/>
    <n v="4.6293423297069864E-3"/>
    <n v="526"/>
    <n v="9.2586846594139727E-3"/>
    <n v="0.1"/>
    <n v="0.15"/>
    <n v="0.01"/>
    <n v="0.03"/>
    <n v="0.25"/>
    <n v="0.68"/>
    <n v="39214.556482183471"/>
    <n v="1.5921152388172821E-2"/>
    <n v="5069.558101472996"/>
    <n v="0.44844517184942734"/>
    <n v="24900"/>
    <n v="2435"/>
    <n v="-0.36503170675121799"/>
    <n v="-0.51968200161420508"/>
    <n v="-0.35492227979274615"/>
    <n v="-0.30428571428571427"/>
  </r>
  <r>
    <x v="2"/>
    <s v="BeNeLux"/>
    <x v="1"/>
    <s v="Monitor"/>
    <n v="34800"/>
    <n v="0.20799999999999999"/>
    <n v="0.26400000000000001"/>
    <n v="0.104"/>
    <n v="5.5E-2"/>
    <n v="1500"/>
    <n v="0.14199999999999999"/>
    <n v="6.4809999999999999"/>
    <n v="0"/>
    <n v="0.14399999999999999"/>
    <m/>
    <n v="31493.212669683253"/>
    <n v="208.47810979847117"/>
    <n v="36300"/>
    <n v="31701.690779481723"/>
    <n v="6551"/>
    <n v="8314"/>
    <n v="3275"/>
    <n v="1732"/>
    <n v="30"/>
    <n v="1351"/>
    <n v="0"/>
    <n v="0"/>
    <n v="4.3103448275862072E-2"/>
    <m/>
    <n v="6581"/>
    <n v="0.20759145137644894"/>
    <n v="9665"/>
    <n v="0.26625344352617081"/>
    <n v="3275"/>
    <n v="0.10330679277585021"/>
    <n v="1732"/>
    <n v="5.4634309950464907E-2"/>
    <n v="0.1"/>
    <n v="0.15"/>
    <n v="0.01"/>
    <n v="0.03"/>
    <n v="0.1"/>
    <n v="6.1949999999999994"/>
    <n v="37476.923076923071"/>
    <n v="7.692307692307665E-2"/>
    <n v="1518.7630298818624"/>
    <n v="1.2508686587908269E-2"/>
    <n v="33600"/>
    <n v="3564"/>
    <n v="-0.10344827586206884"/>
    <n v="1.3466465339739191"/>
    <n v="-3.4482758620689613E-2"/>
    <n v="1.3759999999999999"/>
  </r>
  <r>
    <x v="3"/>
    <s v="Spain"/>
    <x v="1"/>
    <m/>
    <n v="30800"/>
    <n v="9.1999999999999998E-2"/>
    <n v="0.308"/>
    <n v="0"/>
    <n v="4.2000000000000003E-2"/>
    <n v="2500"/>
    <n v="4.2000000000000003E-2"/>
    <n v="0.61499999999999999"/>
    <n v="0"/>
    <n v="1.7000000000000001E-2"/>
    <m/>
    <n v="26235.093696763204"/>
    <n v="1606.6838046272494"/>
    <n v="33300"/>
    <n v="27841.777501390454"/>
    <n v="2414"/>
    <n v="8080"/>
    <n v="0"/>
    <n v="1102"/>
    <n v="67"/>
    <n v="988"/>
    <n v="0"/>
    <n v="0"/>
    <n v="8.1168831168831168E-2"/>
    <m/>
    <n v="2481"/>
    <n v="8.9110689857215319E-2"/>
    <n v="9068"/>
    <n v="0.27231231231231229"/>
    <n v="0"/>
    <n v="0"/>
    <n v="1102"/>
    <n v="3.9580806216304429E-2"/>
    <n v="0.1"/>
    <n v="0.15"/>
    <n v="0.01"/>
    <n v="0.03"/>
    <n v="0.25"/>
    <n v="0.68"/>
    <n v="35155.025553662686"/>
    <n v="0.14139693356047678"/>
    <n v="2843.8303341902315"/>
    <n v="0.13753213367609263"/>
    <n v="20200"/>
    <n v="1675"/>
    <n v="-0.42540220973056786"/>
    <n v="-0.41100564971751419"/>
    <n v="-0.3441558441558441"/>
    <n v="-0.32999999999999996"/>
  </r>
  <r>
    <x v="3"/>
    <s v="Spain"/>
    <x v="4"/>
    <m/>
    <n v="25400"/>
    <n v="1.0999999999999999E-2"/>
    <n v="0.161"/>
    <n v="0"/>
    <n v="0"/>
    <n v="5400"/>
    <n v="6.4000000000000001E-2"/>
    <n v="0"/>
    <n v="0"/>
    <n v="0"/>
    <m/>
    <n v="22086.956521739132"/>
    <n v="5769.2307692307695"/>
    <n v="30800"/>
    <n v="27856.187290969901"/>
    <n v="243"/>
    <n v="3556"/>
    <n v="0"/>
    <n v="0"/>
    <n v="369"/>
    <n v="0"/>
    <n v="0"/>
    <n v="0"/>
    <n v="0.2125984251968504"/>
    <m/>
    <n v="612"/>
    <n v="2.1969984391883777E-2"/>
    <n v="3556"/>
    <n v="0.11545454545454545"/>
    <n v="0"/>
    <n v="0"/>
    <n v="0"/>
    <n v="0"/>
    <n v="0.03"/>
    <n v="0.15"/>
    <n v="0.01"/>
    <n v="0.03"/>
    <n v="0.25"/>
    <n v="0.68"/>
    <n v="31142.608695652176"/>
    <n v="0.22608695652173916"/>
    <n v="10615.384615384615"/>
    <n v="0.96581196581196571"/>
    <n v="10700"/>
    <n v="1532"/>
    <n v="-0.65641927737756189"/>
    <n v="-0.85568115942028988"/>
    <n v="-0.57874015748031504"/>
    <n v="-0.71629629629629632"/>
  </r>
  <r>
    <x v="1"/>
    <s v="Germany"/>
    <x v="5"/>
    <m/>
    <n v="19400"/>
    <n v="0"/>
    <n v="0"/>
    <n v="0"/>
    <n v="0"/>
    <n v="1600"/>
    <n v="0"/>
    <n v="0"/>
    <n v="0"/>
    <n v="0"/>
    <m/>
    <n v="19400"/>
    <n v="1600"/>
    <n v="21000"/>
    <n v="19796.328810853953"/>
    <n v="0"/>
    <n v="0"/>
    <n v="0"/>
    <n v="0"/>
    <n v="0"/>
    <n v="0"/>
    <n v="0"/>
    <n v="0"/>
    <n v="8.247422680412371E-2"/>
    <m/>
    <n v="0"/>
    <n v="0"/>
    <n v="0"/>
    <n v="0"/>
    <n v="0"/>
    <n v="0"/>
    <n v="0"/>
    <n v="0"/>
    <n v="0.03"/>
    <n v="0.15"/>
    <n v="0.01"/>
    <n v="0.03"/>
    <n v="0.25"/>
    <n v="0.68"/>
    <n v="27354"/>
    <n v="0.40999999999999992"/>
    <n v="2944"/>
    <n v="0.84000000000000008"/>
    <n v="14800"/>
    <n v="4095"/>
    <n v="-0.45894567522117424"/>
    <n v="0.39096467391304346"/>
    <n v="-0.23711340206185572"/>
    <n v="1.5593750000000002"/>
  </r>
  <r>
    <x v="2"/>
    <s v="France"/>
    <x v="1"/>
    <m/>
    <n v="22800"/>
    <n v="0.13400000000000001"/>
    <n v="0.45100000000000001"/>
    <n v="0"/>
    <n v="6.4000000000000001E-2"/>
    <n v="3800"/>
    <n v="0.105"/>
    <n v="0.159"/>
    <n v="0"/>
    <n v="0.04"/>
    <m/>
    <n v="18196.328810853953"/>
    <n v="3747.5345167652858"/>
    <n v="26600"/>
    <n v="23147.534516765285"/>
    <n v="2438"/>
    <n v="8207"/>
    <n v="0"/>
    <n v="1165"/>
    <n v="393"/>
    <n v="596"/>
    <n v="0"/>
    <n v="0"/>
    <n v="0.16666666666666666"/>
    <m/>
    <n v="2831"/>
    <n v="0.1223024421002403"/>
    <n v="8803"/>
    <n v="0.33093984962406015"/>
    <n v="0"/>
    <n v="0"/>
    <n v="1165"/>
    <n v="5.0329334174065682E-2"/>
    <n v="0.1"/>
    <n v="0.15"/>
    <n v="0.01"/>
    <n v="0.03"/>
    <n v="0.25"/>
    <n v="0.68"/>
    <n v="24383.080606544296"/>
    <n v="6.9433359936153405E-2"/>
    <n v="6633.1360946745563"/>
    <n v="0.74556213017751483"/>
    <n v="21000"/>
    <n v="1238"/>
    <n v="-0.13874705420267097"/>
    <n v="-0.81336128456735057"/>
    <n v="-7.8947368421052655E-2"/>
    <n v="-0.67421052631578948"/>
  </r>
  <r>
    <x v="2"/>
    <s v="France"/>
    <x v="6"/>
    <s v="Opportunity"/>
    <n v="6800"/>
    <n v="3.5999999999999997E-2"/>
    <n v="3.6999999999999998E-2"/>
    <n v="0"/>
    <n v="0"/>
    <n v="0"/>
    <n v="0"/>
    <n v="0"/>
    <n v="0"/>
    <n v="0"/>
    <m/>
    <n v="6793.2067932067939"/>
    <n v="0"/>
    <n v="6800"/>
    <n v="4204.204204204204"/>
    <n v="245"/>
    <n v="251"/>
    <n v="0"/>
    <n v="0"/>
    <n v="0"/>
    <n v="0"/>
    <n v="0"/>
    <n v="0"/>
    <n v="0"/>
    <m/>
    <n v="245"/>
    <n v="5.8275E-2"/>
    <n v="251"/>
    <n v="3.6911764705882352E-2"/>
    <n v="0"/>
    <n v="0"/>
    <n v="0"/>
    <n v="0"/>
    <n v="0.03"/>
    <n v="0.3"/>
    <n v="0.01"/>
    <n v="0.03"/>
    <n v="0.25"/>
    <s v="NA"/>
    <n v="10597.402597402599"/>
    <n v="0.55844155844155874"/>
    <n v="1500"/>
    <s v="NA"/>
    <n v="2300"/>
    <n v="324"/>
    <n v="-0.7829656862745098"/>
    <n v="-0.78400000000000003"/>
    <n v="-0.66176470588235292"/>
    <s v=""/>
  </r>
  <r>
    <x v="0"/>
    <s v="Europe"/>
    <x v="7"/>
    <s v="Growth"/>
    <n v="9100"/>
    <n v="4.2000000000000003E-2"/>
    <n v="1.2949999999999999"/>
    <n v="0"/>
    <n v="0"/>
    <n v="1000"/>
    <n v="0.19600000000000001"/>
    <n v="0.88300000000000001"/>
    <n v="0"/>
    <n v="0"/>
    <m/>
    <n v="4039.0590324012428"/>
    <n v="592.76822762299935"/>
    <n v="10100"/>
    <n v="7385.9750208297937"/>
    <n v="170"/>
    <n v="5231"/>
    <n v="0"/>
    <n v="0"/>
    <n v="116"/>
    <n v="523"/>
    <n v="0"/>
    <n v="0"/>
    <n v="0.10989010989010989"/>
    <m/>
    <n v="286"/>
    <n v="3.8722037265686376E-2"/>
    <n v="5754"/>
    <n v="0.56970297029702965"/>
    <n v="0"/>
    <n v="0"/>
    <n v="0"/>
    <n v="0"/>
    <n v="0.03"/>
    <n v="0.15"/>
    <n v="0.01"/>
    <n v="0.03"/>
    <n v="1"/>
    <n v="0.68700000000000006"/>
    <n v="8724.367509986685"/>
    <n v="-4.1278295605858828E-2"/>
    <n v="1094.8429164196798"/>
    <n v="9.484291641967979E-2"/>
    <n v="21900"/>
    <n v="2345"/>
    <n v="1.5102106227106225"/>
    <n v="1.1418597726042234"/>
    <n v="1.4065934065934065"/>
    <n v="1.3450000000000002"/>
  </r>
  <r>
    <x v="1"/>
    <s v="Switzerland"/>
    <x v="1"/>
    <m/>
    <n v="9000"/>
    <n v="0.13800000000000001"/>
    <n v="0.68899999999999995"/>
    <n v="0"/>
    <n v="0.11799999999999999"/>
    <n v="3600"/>
    <n v="7.0999999999999994E-2"/>
    <n v="0.96299999999999997"/>
    <n v="0"/>
    <n v="0.111"/>
    <m/>
    <n v="6280.5303558967207"/>
    <n v="2021.3363279056707"/>
    <n v="12600"/>
    <n v="6060.3953603069131"/>
    <n v="867"/>
    <n v="4327"/>
    <n v="0"/>
    <n v="741"/>
    <n v="144"/>
    <n v="1947"/>
    <n v="0"/>
    <n v="0"/>
    <n v="0.4"/>
    <m/>
    <n v="1011"/>
    <n v="0.16682079961674323"/>
    <n v="6274"/>
    <n v="0.49793650793650795"/>
    <n v="0"/>
    <n v="0"/>
    <n v="741"/>
    <n v="0.12226925075767235"/>
    <n v="0.1"/>
    <n v="0.15"/>
    <n v="0.01"/>
    <n v="0.03"/>
    <n v="0.25"/>
    <n v="0.78100000000000003"/>
    <n v="8415.9106769016053"/>
    <n v="-6.4898813677599421E-2"/>
    <n v="3781.92026951151"/>
    <n v="5.0533408197641627E-2"/>
    <n v="8700"/>
    <n v="30324"/>
    <n v="3.3756218905472535E-2"/>
    <n v="7.0181489399608061"/>
    <n v="-3.3333333333333326E-2"/>
    <n v="7.4233333333333338"/>
  </r>
  <r>
    <x v="2"/>
    <s v="France"/>
    <x v="8"/>
    <s v="Monitor"/>
    <n v="7000"/>
    <n v="4.2000000000000003E-2"/>
    <n v="3.0000000000000001E-3"/>
    <n v="0.70399999999999996"/>
    <n v="0"/>
    <n v="1300"/>
    <n v="4.8000000000000001E-2"/>
    <n v="7.0000000000000001E-3"/>
    <n v="0"/>
    <n v="0"/>
    <m/>
    <n v="4204.204204204204"/>
    <n v="1355.5787278415019"/>
    <n v="8300"/>
    <n v="7636.1090837382226"/>
    <n v="177"/>
    <n v="13"/>
    <n v="2960"/>
    <n v="0"/>
    <n v="65"/>
    <n v="9"/>
    <n v="0"/>
    <n v="0"/>
    <n v="0.18571428571428572"/>
    <m/>
    <n v="242"/>
    <n v="3.1691532604656035E-2"/>
    <n v="22"/>
    <n v="2.6506024096385541E-3"/>
    <n v="2960"/>
    <n v="0.38763196904868541"/>
    <n v="0"/>
    <n v="0"/>
    <n v="0.03"/>
    <n v="0.15"/>
    <n v="0.01"/>
    <n v="0.03"/>
    <n v="0.1"/>
    <n v="0.68"/>
    <n v="5297.2972972972966"/>
    <n v="-0.24324324324324331"/>
    <n v="2494.2648592283631"/>
    <n v="0.91866527632951001"/>
    <n v="10400"/>
    <n v="213"/>
    <n v="0.96326530612244921"/>
    <n v="-0.91460409698996659"/>
    <n v="0.48571428571428577"/>
    <n v="-0.83615384615384614"/>
  </r>
  <r>
    <x v="2"/>
    <s v="Nordics"/>
    <x v="1"/>
    <m/>
    <n v="5000"/>
    <n v="0.13"/>
    <n v="0.45300000000000001"/>
    <n v="0"/>
    <n v="2E-3"/>
    <n v="400"/>
    <n v="0.09"/>
    <n v="0.106"/>
    <n v="0"/>
    <n v="0"/>
    <m/>
    <n v="3785.0113550340652"/>
    <n v="393.70078740157481"/>
    <n v="5400"/>
    <n v="4178.7121424356401"/>
    <n v="492"/>
    <n v="1715"/>
    <n v="0"/>
    <n v="8"/>
    <n v="35"/>
    <n v="42"/>
    <n v="0"/>
    <n v="0"/>
    <n v="0.08"/>
    <m/>
    <n v="527"/>
    <n v="0.12611541116896083"/>
    <n v="1757"/>
    <n v="0.32537037037037037"/>
    <n v="0"/>
    <n v="0"/>
    <n v="8"/>
    <n v="1.9144654446901076E-3"/>
    <n v="0.1"/>
    <n v="0.15"/>
    <n v="0.01"/>
    <n v="0.03"/>
    <n v="0.25"/>
    <n v="0.68"/>
    <n v="5071.9152157456465"/>
    <n v="1.4383043149129193E-2"/>
    <n v="696.85039370078744"/>
    <n v="0.74212598425196852"/>
    <n v="2200"/>
    <n v="2345"/>
    <n v="-0.56623880597014919"/>
    <n v="2.3651412429378529"/>
    <n v="-0.56000000000000005"/>
    <n v="4.8624999999999998"/>
  </r>
  <r>
    <x v="2"/>
    <s v="BeNeLux"/>
    <x v="9"/>
    <s v="Opportunity"/>
    <n v="2000"/>
    <n v="0"/>
    <n v="0"/>
    <n v="0"/>
    <n v="0"/>
    <n v="250"/>
    <n v="0"/>
    <n v="0"/>
    <n v="0"/>
    <n v="0"/>
    <m/>
    <n v="2000"/>
    <n v="250"/>
    <n v="2250"/>
    <n v="1944.9152542372881"/>
    <n v="0"/>
    <n v="0"/>
    <n v="0"/>
    <n v="0"/>
    <n v="0"/>
    <n v="0"/>
    <n v="0"/>
    <n v="0"/>
    <n v="0.125"/>
    <m/>
    <n v="0"/>
    <n v="0"/>
    <n v="0"/>
    <n v="0"/>
    <n v="0"/>
    <n v="0"/>
    <n v="0"/>
    <n v="0"/>
    <n v="0.03"/>
    <n v="0.3"/>
    <n v="0.01"/>
    <n v="0.03"/>
    <n v="0.25"/>
    <n v="0.68"/>
    <n v="3120"/>
    <n v="0.56000000000000005"/>
    <n v="497.50000000000006"/>
    <n v="0.99000000000000021"/>
    <n v="600"/>
    <n v="0"/>
    <n v="-0.80769230769230771"/>
    <n v="-1"/>
    <n v="-0.7"/>
    <n v="-1"/>
  </r>
  <r>
    <x v="3"/>
    <s v="Italy"/>
    <x v="1"/>
    <m/>
    <n v="3000"/>
    <n v="0.122"/>
    <n v="1.8919999999999999"/>
    <n v="0"/>
    <n v="1"/>
    <n v="0"/>
    <n v="1"/>
    <n v="0"/>
    <n v="0"/>
    <n v="0"/>
    <m/>
    <n v="1694.9152542372881"/>
    <n v="0"/>
    <n v="3000"/>
    <n v="2000"/>
    <n v="207"/>
    <n v="3207"/>
    <n v="0"/>
    <n v="1695"/>
    <n v="0"/>
    <n v="0"/>
    <n v="0"/>
    <n v="0"/>
    <n v="0"/>
    <m/>
    <n v="207"/>
    <n v="0.10349999999999999"/>
    <n v="3207"/>
    <n v="1.069"/>
    <n v="0"/>
    <n v="0"/>
    <n v="1695"/>
    <n v="0.84750000000000003"/>
    <n v="0.1"/>
    <n v="0.15"/>
    <n v="0.01"/>
    <n v="0.03"/>
    <n v="0.25"/>
    <s v="NA"/>
    <n v="2271.1864406779659"/>
    <n v="-0.24293785310734473"/>
    <n v="500"/>
    <s v="NA"/>
    <n v="3300"/>
    <n v="345"/>
    <n v="0.45298507462686577"/>
    <n v="-0.31000000000000005"/>
    <n v="0.10000000000000009"/>
    <s v=""/>
  </r>
  <r>
    <x v="0"/>
    <s v="Europe"/>
    <x v="10"/>
    <s v="Opportunity"/>
    <n v="1200"/>
    <n v="0"/>
    <n v="0"/>
    <n v="0"/>
    <n v="0"/>
    <n v="0"/>
    <n v="0"/>
    <n v="0"/>
    <n v="0"/>
    <n v="0"/>
    <m/>
    <n v="1200"/>
    <n v="0"/>
    <n v="1200"/>
    <n v="120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.03"/>
    <n v="0.3"/>
    <n v="0.01"/>
    <n v="0.03"/>
    <n v="0.25"/>
    <s v="NA"/>
    <n v="1872"/>
    <n v="0.56000000000000005"/>
    <n v="500"/>
    <s v="NA"/>
    <n v="2400"/>
    <n v="123"/>
    <n v="0.28205128205128216"/>
    <n v="-0.754"/>
    <n v="1"/>
    <s v=""/>
  </r>
  <r>
    <x v="2"/>
    <s v="Nordics"/>
    <x v="11"/>
    <s v="Opportunity"/>
    <n v="400"/>
    <n v="0.76500000000000001"/>
    <n v="0.38700000000000001"/>
    <n v="0"/>
    <n v="0"/>
    <n v="100"/>
    <n v="0"/>
    <n v="0.42899999999999999"/>
    <n v="0"/>
    <n v="0"/>
    <m/>
    <n v="643.08681672025727"/>
    <n v="69.979006298110562"/>
    <n v="500"/>
    <n v="487.03183298949148"/>
    <n v="492"/>
    <n v="249"/>
    <n v="0"/>
    <n v="0"/>
    <n v="0"/>
    <n v="30"/>
    <n v="0"/>
    <n v="0"/>
    <n v="0.25"/>
    <m/>
    <n v="492"/>
    <n v="1.0102009081829681"/>
    <n v="279"/>
    <n v="0.55800000000000005"/>
    <n v="0"/>
    <n v="0"/>
    <n v="0"/>
    <n v="0"/>
    <n v="0.03"/>
    <n v="0.3"/>
    <n v="0.01"/>
    <n v="0.03"/>
    <n v="0.25"/>
    <n v="0.68"/>
    <n v="1003.2154340836014"/>
    <n v="1.5080385852090035"/>
    <n v="139.25822253324003"/>
    <n v="0.39258222533240028"/>
    <n v="1900"/>
    <n v="75"/>
    <n v="0.89391025641025612"/>
    <n v="-0.46143216080402005"/>
    <n v="3.75"/>
    <n v="-0.25"/>
  </r>
  <r>
    <x v="2"/>
    <s v="Nordics"/>
    <x v="12"/>
    <s v="Opportunity"/>
    <n v="900"/>
    <n v="5.8000000000000003E-2"/>
    <n v="1.2190000000000001"/>
    <n v="0"/>
    <n v="3.0000000000000001E-3"/>
    <n v="0"/>
    <n v="0"/>
    <n v="0.83299999999999996"/>
    <n v="0"/>
    <n v="0"/>
    <m/>
    <n v="417.05282669138091"/>
    <n v="0"/>
    <n v="900"/>
    <n v="643.08681672025727"/>
    <n v="24"/>
    <n v="508"/>
    <n v="0"/>
    <n v="1"/>
    <n v="0"/>
    <n v="0"/>
    <n v="0"/>
    <n v="0"/>
    <n v="0"/>
    <m/>
    <n v="24"/>
    <n v="3.7319999999999999E-2"/>
    <n v="508"/>
    <n v="0.56444444444444442"/>
    <n v="0"/>
    <n v="0"/>
    <n v="1"/>
    <n v="1.555E-3"/>
    <n v="0.03"/>
    <n v="0.3"/>
    <n v="0.01"/>
    <n v="0.03"/>
    <n v="0.25"/>
    <s v="NA"/>
    <n v="650.60240963855426"/>
    <n v="-0.27710843373493965"/>
    <n v="500"/>
    <s v="NA"/>
    <n v="3300"/>
    <n v="50"/>
    <n v="4.072222222222222"/>
    <n v="-0.9"/>
    <n v="2.6666666666666665"/>
    <s v=""/>
  </r>
  <r>
    <x v="2"/>
    <s v="United Kingdom"/>
    <x v="13"/>
    <s v="Opportunity"/>
    <n v="1.0000000000000001E-9"/>
    <n v="0"/>
    <n v="0"/>
    <n v="0"/>
    <n v="0"/>
    <n v="0"/>
    <n v="0"/>
    <n v="0"/>
    <n v="0"/>
    <n v="0"/>
    <m/>
    <n v="1.0000000000000001E-9"/>
    <n v="0"/>
    <n v="1.0000000000000001E-9"/>
    <n v="284.09090909090907"/>
    <n v="0"/>
    <n v="0"/>
    <n v="0"/>
    <n v="0"/>
    <n v="0"/>
    <n v="0"/>
    <n v="0"/>
    <n v="0"/>
    <n v="0"/>
    <m/>
    <n v="0"/>
    <n v="0"/>
    <n v="0"/>
    <n v="0"/>
    <n v="0"/>
    <n v="0"/>
    <n v="0"/>
    <n v="0"/>
    <n v="0.03"/>
    <n v="0.3"/>
    <n v="0.01"/>
    <n v="0.03"/>
    <n v="0.25"/>
    <s v="NA"/>
    <n v="500"/>
    <s v="NA"/>
    <n v="500"/>
    <s v="NA"/>
    <n v="15100"/>
    <n v="345"/>
    <n v="29.2"/>
    <n v="-0.31000000000000005"/>
    <n v="15099999999999"/>
    <s v=""/>
  </r>
  <r>
    <x v="3"/>
    <s v="Spain"/>
    <x v="14"/>
    <s v="Opportunity"/>
    <n v="300"/>
    <n v="0"/>
    <n v="0.20300000000000001"/>
    <n v="0"/>
    <n v="0.14699999999999999"/>
    <n v="0"/>
    <n v="0"/>
    <n v="0"/>
    <n v="0"/>
    <n v="0"/>
    <m/>
    <n v="284.09090909090907"/>
    <n v="0"/>
    <n v="300"/>
    <n v="1.0000000000000001E-9"/>
    <n v="0"/>
    <n v="58"/>
    <n v="0"/>
    <n v="42"/>
    <n v="0"/>
    <n v="0"/>
    <n v="0"/>
    <n v="0"/>
    <n v="0"/>
    <m/>
    <n v="0"/>
    <n v="0"/>
    <n v="58"/>
    <n v="0.19333333333333333"/>
    <n v="0"/>
    <n v="0"/>
    <n v="42"/>
    <n v="42000000000"/>
    <n v="0.03"/>
    <n v="0.3"/>
    <n v="0.01"/>
    <n v="0.03"/>
    <n v="0.25"/>
    <s v="NA"/>
    <n v="443.18181818181813"/>
    <n v="0.47727272727272707"/>
    <n v="500"/>
    <s v="NA"/>
    <n v="900"/>
    <n v="0"/>
    <n v="1.0307692307692311"/>
    <n v="-1"/>
    <n v="2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1F1B3-67CE-4B50-A8F7-84C9BC1124F5}" name="PivotTable3" cacheId="0" applyNumberFormats="0" applyBorderFormats="0" applyFontFormats="0" applyPatternFormats="0" applyAlignmentFormats="0" applyWidthHeightFormats="1" dataCaption="Values" showMissing="0" updatedVersion="8" minRefreshableVersion="3" preserveFormatting="0" rowGrandTotals="0" colGrandTotals="0" itemPrintTitles="1" mergeItem="1" createdVersion="8" indent="0" compact="0" compactData="0" multipleFieldFilters="0">
  <location ref="F3:H17" firstHeaderRow="1" firstDataRow="1" firstDataCol="3"/>
  <pivotFields count="3">
    <pivotField axis="axisRow" compact="0" outline="0" showAll="0" defaultSubtotal="0">
      <items count="14">
        <item x="9"/>
        <item x="8"/>
        <item x="10"/>
        <item x="0"/>
        <item x="6"/>
        <item x="7"/>
        <item x="13"/>
        <item x="12"/>
        <item x="2"/>
        <item x="5"/>
        <item x="1"/>
        <item x="11"/>
        <item x="3"/>
        <item x="4"/>
      </items>
    </pivotField>
    <pivotField axis="axisRow" compact="0" outline="0" showAll="0" defaultSubtotal="0">
      <items count="3">
        <item x="2"/>
        <item x="0"/>
        <item x="1"/>
      </items>
    </pivotField>
    <pivotField axis="axisRow" compact="0" outline="0" showAll="0" defaultSubtotal="0">
      <items count="14">
        <item x="3"/>
        <item x="9"/>
        <item x="4"/>
        <item x="10"/>
        <item x="2"/>
        <item x="7"/>
        <item x="5"/>
        <item x="12"/>
        <item x="0"/>
        <item x="8"/>
        <item x="11"/>
        <item x="1"/>
        <item x="13"/>
        <item x="6"/>
      </items>
    </pivotField>
  </pivotFields>
  <rowFields count="3">
    <field x="1"/>
    <field x="0"/>
    <field x="2"/>
  </rowFields>
  <rowItems count="14">
    <i>
      <x/>
      <x v="6"/>
      <x v="12"/>
    </i>
    <i r="1">
      <x v="8"/>
      <x v="4"/>
    </i>
    <i r="1">
      <x v="11"/>
      <x v="10"/>
    </i>
    <i r="1">
      <x v="13"/>
      <x v="2"/>
    </i>
    <i>
      <x v="1"/>
      <x v="1"/>
      <x v="9"/>
    </i>
    <i r="1">
      <x v="2"/>
      <x v="3"/>
    </i>
    <i r="1">
      <x v="3"/>
      <x v="8"/>
    </i>
    <i>
      <x v="2"/>
      <x/>
      <x v="1"/>
    </i>
    <i r="1">
      <x v="4"/>
      <x v="13"/>
    </i>
    <i r="1">
      <x v="5"/>
      <x v="5"/>
    </i>
    <i r="1">
      <x v="7"/>
      <x v="7"/>
    </i>
    <i r="1">
      <x v="9"/>
      <x v="6"/>
    </i>
    <i r="1">
      <x v="10"/>
      <x v="11"/>
    </i>
    <i r="1">
      <x v="12"/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87332-924B-4D62-AE45-96B536B1BD6A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J19" firstHeaderRow="0" firstDataRow="1" firstDataCol="1"/>
  <pivotFields count="53">
    <pivotField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axis="axisRow" showAll="0" sortType="descending">
      <items count="18">
        <item x="14"/>
        <item m="1" x="15"/>
        <item x="7"/>
        <item x="1"/>
        <item m="1" x="16"/>
        <item x="12"/>
        <item x="11"/>
        <item x="0"/>
        <item x="10"/>
        <item x="6"/>
        <item x="3"/>
        <item x="9"/>
        <item x="2"/>
        <item x="8"/>
        <item x="1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showAll="0"/>
    <pivotField dataField="1" numFmtId="3" showAll="0"/>
    <pivotField numFmtId="9" showAll="0"/>
    <pivotField numFmtId="9" showAll="0"/>
    <pivotField numFmtId="9" showAll="0"/>
    <pivotField numFmtId="9" showAll="0"/>
    <pivotField dataField="1" numFmtId="3" showAll="0"/>
    <pivotField numFmtId="9" showAll="0"/>
    <pivotField numFmtId="9" showAll="0"/>
    <pivotField numFmtId="9" showAll="0"/>
    <pivotField numFmtId="9" showAll="0"/>
    <pivotField showAll="0"/>
    <pivotField numFmtId="168" showAll="0"/>
    <pivotField numFmtId="168" showAll="0"/>
    <pivotField dataField="1" numFmtId="168" showAll="0"/>
    <pivotField numFmtId="168" showAll="0"/>
    <pivotField numFmtId="168" showAll="0"/>
    <pivotField numFmtId="168" showAll="0"/>
    <pivotField numFmtId="168" showAll="0"/>
    <pivotField numFmtId="168" showAll="0"/>
    <pivotField numFmtId="168" showAll="0"/>
    <pivotField numFmtId="168" showAll="0"/>
    <pivotField numFmtId="168" showAll="0"/>
    <pivotField numFmtId="168" showAll="0"/>
    <pivotField dataField="1" numFmtId="10" showAll="0"/>
    <pivotField showAll="0"/>
    <pivotField dataField="1" numFmtId="168" showAll="0"/>
    <pivotField numFmtId="169" showAll="0"/>
    <pivotField dataField="1" numFmtId="168" showAll="0"/>
    <pivotField numFmtId="169" showAll="0"/>
    <pivotField dataField="1" numFmtId="168" showAll="0"/>
    <pivotField numFmtId="169" showAll="0"/>
    <pivotField dataField="1" numFmtId="168" showAll="0"/>
    <pivotField numFmtId="169" showAll="0"/>
    <pivotField numFmtId="9" showAll="0"/>
    <pivotField numFmtId="9" showAll="0"/>
    <pivotField numFmtId="9" showAll="0"/>
    <pivotField numFmtId="9" showAll="0"/>
    <pivotField numFmtId="9" showAll="0"/>
    <pivotField showAll="0"/>
    <pivotField numFmtId="3" showAll="0"/>
    <pivotField showAll="0"/>
    <pivotField numFmtId="3" showAll="0"/>
    <pivotField showAll="0"/>
    <pivotField numFmtId="168" showAll="0"/>
    <pivotField numFmtId="168" showAll="0"/>
    <pivotField showAll="0"/>
    <pivotField showAll="0"/>
    <pivotField numFmtId="169" showAll="0"/>
    <pivotField showAll="0"/>
  </pivotFields>
  <rowFields count="1">
    <field x="2"/>
  </rowFields>
  <rowItems count="16">
    <i>
      <x v="3"/>
    </i>
    <i>
      <x v="7"/>
    </i>
    <i>
      <x v="12"/>
    </i>
    <i>
      <x v="10"/>
    </i>
    <i>
      <x v="15"/>
    </i>
    <i>
      <x v="16"/>
    </i>
    <i>
      <x v="2"/>
    </i>
    <i>
      <x v="13"/>
    </i>
    <i>
      <x v="9"/>
    </i>
    <i>
      <x v="11"/>
    </i>
    <i>
      <x v="8"/>
    </i>
    <i>
      <x v="5"/>
    </i>
    <i>
      <x v="6"/>
    </i>
    <i>
      <x/>
    </i>
    <i>
      <x v="1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Tot Cancellation" fld="29" baseField="0" baseItem="0" numFmtId="168"/>
    <dataField name="Sum of ToT Stock Clearance" fld="33" baseField="0" baseItem="0" numFmtId="168"/>
    <dataField name="Sum of ToT Reorders" fld="31" baseField="0" baseItem="0" numFmtId="168"/>
    <dataField name="Sum of ToT Retruns" fld="35" baseField="0" baseItem="0" numFmtId="168"/>
    <dataField name="Sum of Net Sales Invoiced Shoes" fld="4" baseField="0" baseItem="0" numFmtId="3"/>
    <dataField name="Sum of Net Sales Invoiced Apparel" fld="9" baseField="0" baseItem="0" numFmtId="3"/>
    <dataField name="Sum of Tot Net Sales Invoiced (units)" fld="17" baseField="0" baseItem="0" numFmtId="168"/>
    <dataField name="Average of Apparel vs Shoes Sell/Out" fld="27" subtotal="average" baseField="2" baseItem="14" numFmtId="10"/>
  </dataFields>
  <formats count="39">
    <format dxfId="146">
      <pivotArea field="2" type="button" dataOnly="0" labelOnly="1" outline="0" axis="axisRow" fieldPosition="0"/>
    </format>
    <format dxfId="145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144">
      <pivotArea field="2" type="button" dataOnly="0" labelOnly="1" outline="0" axis="axisRow" fieldPosition="0"/>
    </format>
    <format dxfId="143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142">
      <pivotArea field="2" type="button" dataOnly="0" labelOnly="1" outline="0" axis="axisRow" fieldPosition="0"/>
    </format>
    <format dxfId="141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140">
      <pivotArea grandRow="1" outline="0" collapsedLevelsAreSubtotals="1" fieldPosition="0"/>
    </format>
    <format dxfId="139">
      <pivotArea dataOnly="0" labelOnly="1" grandRow="1" outline="0" fieldPosition="0"/>
    </format>
    <format dxfId="138">
      <pivotArea grandRow="1" outline="0" collapsedLevelsAreSubtotals="1" fieldPosition="0"/>
    </format>
    <format dxfId="137">
      <pivotArea dataOnly="0" labelOnly="1" grandRow="1" outline="0" fieldPosition="0"/>
    </format>
    <format dxfId="136">
      <pivotArea outline="0" collapsedLevelsAreSubtotals="1" fieldPosition="0">
        <references count="1">
          <reference field="4294967294" count="2" selected="0">
            <x v="4"/>
            <x v="5"/>
          </reference>
        </references>
      </pivotArea>
    </format>
    <format dxfId="13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34">
      <pivotArea outline="0" collapsedLevelsAreSubtotals="1" fieldPosition="0">
        <references count="1">
          <reference field="4294967294" count="2" selected="0">
            <x v="4"/>
            <x v="5"/>
          </reference>
        </references>
      </pivotArea>
    </format>
    <format dxfId="133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32">
      <pivotArea dataOnly="0" outline="0" fieldPosition="0">
        <references count="1">
          <reference field="4294967294" count="2">
            <x v="4"/>
            <x v="5"/>
          </reference>
        </references>
      </pivotArea>
    </format>
    <format dxfId="131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7">
      <pivotArea field="0" type="button" dataOnly="0" labelOnly="1" outline="0"/>
    </format>
    <format dxfId="126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25">
      <pivotArea field="0" type="button" dataOnly="0" labelOnly="1" outline="0"/>
    </format>
    <format dxfId="12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23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22">
      <pivotArea field="0" grandRow="1" outline="0" collapsedLevelsAreSubtotals="1">
        <references count="1">
          <reference field="4294967294" count="4" selected="0">
            <x v="4"/>
            <x v="5"/>
            <x v="6"/>
            <x v="7"/>
          </reference>
        </references>
      </pivotArea>
    </format>
    <format dxfId="121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120">
      <pivotArea field="0" type="button" dataOnly="0" labelOnly="1" outline="0"/>
    </format>
    <format dxfId="119">
      <pivotArea dataOnly="0" labelOnly="1" grandRow="1" outline="0" fieldPosition="0"/>
    </format>
    <format dxfId="1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7">
      <pivotArea outline="0" collapsedLevelsAreSubtotals="1" fieldPosition="0"/>
    </format>
    <format dxfId="116">
      <pivotArea dataOnly="0" labelOnly="1" grandRow="1" outline="0" fieldPosition="0"/>
    </format>
    <format dxfId="115">
      <pivotArea dataOnly="0" labelOnly="1" fieldPosition="0">
        <references count="1">
          <reference field="2" count="3">
            <x v="7"/>
            <x v="10"/>
            <x v="12"/>
          </reference>
        </references>
      </pivotArea>
    </format>
    <format dxfId="114">
      <pivotArea dataOnly="0" labelOnly="1" fieldPosition="0">
        <references count="1">
          <reference field="2" count="3">
            <x v="7"/>
            <x v="10"/>
            <x v="12"/>
          </reference>
        </references>
      </pivotArea>
    </format>
    <format dxfId="11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12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1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10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109">
      <pivotArea dataOnly="0" labelOnly="1" fieldPosition="0">
        <references count="1">
          <reference field="2" count="3">
            <x v="7"/>
            <x v="10"/>
            <x v="12"/>
          </reference>
        </references>
      </pivotArea>
    </format>
    <format dxfId="108">
      <pivotArea dataOnly="0" labelOnly="1" fieldPosition="0">
        <references count="1">
          <reference field="2" count="3">
            <x v="7"/>
            <x v="10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B274C-D841-4C89-8A90-0536C3A3BFB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40" firstHeaderRow="1" firstDataRow="1" firstDataCol="1"/>
  <pivotFields count="43">
    <pivotField axis="axisRow" showAll="0">
      <items count="5">
        <item x="0"/>
        <item x="2"/>
        <item x="1"/>
        <item x="3"/>
        <item t="default"/>
      </items>
    </pivotField>
    <pivotField axis="axisRow" showAll="0" sortType="descending">
      <items count="11">
        <item x="1"/>
        <item x="2"/>
        <item x="4"/>
        <item x="9"/>
        <item x="0"/>
        <item x="5"/>
        <item x="7"/>
        <item x="8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6">
        <item m="1" x="4"/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4"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165" showAll="0"/>
    <pivotField numFmtId="165" showAll="0"/>
    <pivotField numFmtId="169" showAll="0"/>
    <pivotField numFmtId="169" showAll="0"/>
    <pivotField dataField="1" numFmtId="171" showAll="0"/>
    <pivotField showAll="0"/>
    <pivotField numFmtId="164" showAll="0"/>
    <pivotField numFmtId="169" showAll="0"/>
    <pivotField numFmtId="169" showAll="0"/>
    <pivotField numFmtId="171" showAll="0"/>
    <pivotField showAll="0"/>
    <pivotField numFmtId="164" showAll="0"/>
    <pivotField numFmtId="169" showAll="0"/>
    <pivotField numFmtId="169" showAll="0"/>
    <pivotField numFmtId="171" showAll="0"/>
  </pivotFields>
  <rowFields count="3">
    <field x="0"/>
    <field x="3"/>
    <field x="1"/>
  </rowFields>
  <rowItems count="37">
    <i>
      <x/>
    </i>
    <i r="1">
      <x v="4"/>
    </i>
    <i r="2">
      <x v="4"/>
    </i>
    <i r="2">
      <x/>
    </i>
    <i r="2">
      <x v="8"/>
    </i>
    <i r="1">
      <x v="2"/>
    </i>
    <i r="2">
      <x v="4"/>
    </i>
    <i>
      <x v="1"/>
    </i>
    <i r="1">
      <x v="2"/>
    </i>
    <i r="2">
      <x v="2"/>
    </i>
    <i r="1">
      <x v="1"/>
    </i>
    <i r="2">
      <x v="2"/>
    </i>
    <i r="1">
      <x v="3"/>
    </i>
    <i r="2">
      <x v="2"/>
    </i>
    <i>
      <x v="2"/>
    </i>
    <i r="1">
      <x v="4"/>
    </i>
    <i r="2">
      <x v="1"/>
    </i>
    <i r="2">
      <x v="9"/>
    </i>
    <i r="2">
      <x v="6"/>
    </i>
    <i r="2">
      <x v="3"/>
    </i>
    <i r="1">
      <x v="1"/>
    </i>
    <i r="2">
      <x v="3"/>
    </i>
    <i r="2">
      <x v="9"/>
    </i>
    <i r="1">
      <x v="3"/>
    </i>
    <i r="2">
      <x v="1"/>
    </i>
    <i r="2">
      <x v="6"/>
    </i>
    <i r="2">
      <x v="3"/>
    </i>
    <i r="2">
      <x v="9"/>
    </i>
    <i>
      <x v="3"/>
    </i>
    <i r="1">
      <x v="4"/>
    </i>
    <i r="2">
      <x v="5"/>
    </i>
    <i r="2">
      <x v="7"/>
    </i>
    <i r="1">
      <x v="3"/>
    </i>
    <i r="2">
      <x v="7"/>
    </i>
    <i r="1">
      <x v="2"/>
    </i>
    <i r="2">
      <x v="7"/>
    </i>
    <i t="grand">
      <x/>
    </i>
  </rowItems>
  <colItems count="1">
    <i/>
  </colItems>
  <dataFields count="1">
    <dataField name="Sum of CTC (bps)" fld="32" baseField="0" baseItem="0" numFmtId="171"/>
  </dataFields>
  <formats count="8"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field="0" type="button" dataOnly="0" labelOnly="1" outline="0" axis="axisRow" fieldPosition="0"/>
    </format>
    <format dxfId="12">
      <pivotArea dataOnly="0" labelOnly="1" outline="0" axis="axisValues" fieldPosition="0"/>
    </format>
    <format dxfId="11">
      <pivotArea field="0" type="button" dataOnly="0" labelOnly="1" outline="0" axis="axisRow" fieldPosition="0"/>
    </format>
    <format dxfId="10">
      <pivotArea dataOnly="0" labelOnly="1" outline="0" axis="axisValues" fieldPosition="0"/>
    </format>
  </formats>
  <conditionalFormats count="1">
    <conditionalFormat priority="1">
      <pivotAreas count="26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0"/>
            </reference>
            <reference field="3" count="1">
              <x v="4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3">
              <x v="0"/>
              <x v="4"/>
              <x v="8"/>
            </reference>
            <reference field="3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0"/>
            </reference>
            <reference field="3" count="1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">
              <x v="4"/>
            </reference>
            <reference field="3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3" count="1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">
              <x v="2"/>
            </reference>
            <reference field="3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3" count="1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">
              <x v="2"/>
            </reference>
            <reference field="3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3" count="1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1" count="1">
              <x v="2"/>
            </reference>
            <reference field="3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2"/>
            </reference>
            <reference field="3" count="1">
              <x v="4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2"/>
            </reference>
            <reference field="1" count="4">
              <x v="1"/>
              <x v="3"/>
              <x v="6"/>
              <x v="9"/>
            </reference>
            <reference field="3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2"/>
            </reference>
            <reference field="3" count="1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2"/>
            </reference>
            <reference field="1" count="2">
              <x v="3"/>
              <x v="9"/>
            </reference>
            <reference field="3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2"/>
            </reference>
            <reference field="3" count="1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2"/>
            </reference>
            <reference field="1" count="4">
              <x v="1"/>
              <x v="3"/>
              <x v="6"/>
              <x v="9"/>
            </reference>
            <reference field="3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3"/>
            </reference>
            <reference field="3" count="1">
              <x v="4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3"/>
            </reference>
            <reference field="1" count="2">
              <x v="5"/>
              <x v="7"/>
            </reference>
            <reference field="3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3"/>
            </reference>
            <reference field="3" count="1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3"/>
            </reference>
            <reference field="1" count="1">
              <x v="7"/>
            </reference>
            <reference field="3" count="1" selected="0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3"/>
            </reference>
            <reference field="3" count="1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3"/>
            </reference>
            <reference field="1" count="1">
              <x v="7"/>
            </reference>
            <reference field="3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70D08-BB47-4BF4-A406-D9C2C1AA8C30}" name="Table2" displayName="Table2" ref="B74:D77" totalsRowShown="0" headerRowDxfId="208" headerRowBorderDxfId="207" tableBorderDxfId="206" totalsRowBorderDxfId="205">
  <autoFilter ref="B74:D77" xr:uid="{45170D08-BB47-4BF4-A406-D9C2C1AA8C30}"/>
  <tableColumns count="3">
    <tableColumn id="1" xr3:uid="{A9CD4B16-5743-4258-B425-23E90CA8F0DD}" name="WOS Thresholds Buckets" dataDxfId="204"/>
    <tableColumn id="2" xr3:uid="{FA6EF400-325A-4503-B0B4-AA95BCBB4509}" name="Lower Bound" dataDxfId="203"/>
    <tableColumn id="3" xr3:uid="{775D0091-94E7-47EF-AC2C-7E4249A55F73}" name="Action" dataDxfId="20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465912-89BC-4F10-B676-8C15F82C5346}" name="Table3" displayName="Table3" ref="A6:BA29" totalsRowShown="0" headerRowDxfId="201" tableBorderDxfId="200">
  <autoFilter ref="A6:BA29" xr:uid="{CC465912-89BC-4F10-B676-8C15F82C5346}"/>
  <sortState xmlns:xlrd2="http://schemas.microsoft.com/office/spreadsheetml/2017/richdata2" ref="A7:BA29">
    <sortCondition descending="1" ref="AL6:AL29"/>
  </sortState>
  <tableColumns count="53">
    <tableColumn id="1" xr3:uid="{090B8C06-44B7-431E-B5AE-CEB639AF8FEA}" name="Sub Region" dataDxfId="199"/>
    <tableColumn id="2" xr3:uid="{1CF7420A-CE04-4CAA-8E64-E34F80BE2D90}" name="Market" dataDxfId="198"/>
    <tableColumn id="3" xr3:uid="{0DF4AEC0-45A3-4C7A-B089-0768227050B0}" name="Account" dataDxfId="197"/>
    <tableColumn id="55" xr3:uid="{75DA89DB-DF09-4A3B-A911-DBEA171B53B6}" name="Client Tier" dataDxfId="196"/>
    <tableColumn id="4" xr3:uid="{0529306E-AC25-465F-8396-F3957B6A6366}" name="Net Sales Invoiced Shoes" dataDxfId="195"/>
    <tableColumn id="5" xr3:uid="{BC1A2002-C861-4512-91E8-65D26D59BCD6}" name="Pre-Order Cancellations  Mix %" dataDxfId="194"/>
    <tableColumn id="6" xr3:uid="{716F2426-2F23-4EF3-8D1A-D7F6C64A55FA}" name="Re-Order Rate %" dataDxfId="193"/>
    <tableColumn id="7" xr3:uid="{009355EA-A4F3-4863-862D-9342E2571387}" name="Stock Clearance Rate %" dataDxfId="192"/>
    <tableColumn id="8" xr3:uid="{0A8A3B64-0176-4DC1-A24B-0C48171DA428}" name="Returns Rate %" dataDxfId="191"/>
    <tableColumn id="9" xr3:uid="{70E7DDE1-075B-4199-99F8-92ADA3056E40}" name="Net Sales Invoiced Apparel" dataDxfId="190"/>
    <tableColumn id="10" xr3:uid="{2D5A4195-A4C0-415A-A403-678CE44C0143}" name="Pre-Order Cancellations  Mix %2" dataDxfId="189"/>
    <tableColumn id="11" xr3:uid="{112DAB73-543B-4690-8B97-A16EA7555385}" name="Re-Order Rate %4" dataDxfId="188"/>
    <tableColumn id="12" xr3:uid="{9F439D07-DDE6-4214-9780-9EACC026EEDC}" name="Stock Clearance Rate %5" dataDxfId="187"/>
    <tableColumn id="13" xr3:uid="{8E35936B-0A0E-4DFC-9AAF-942C529C5AAF}" name="Returns Rate %6" dataDxfId="186"/>
    <tableColumn id="14" xr3:uid="{4FE8214B-B136-48BD-9B5A-4C57FE7CCB0F}" name="Returns Rate %7" dataDxfId="185"/>
    <tableColumn id="15" xr3:uid="{163E0AA5-C8B7-48AF-BC26-7F95EB86F1CE}" name="Pre-Orders Booked LYQ2 (shoes)" dataDxfId="184" dataCellStyle="Comma">
      <calculatedColumnFormula>IFERROR(E7/(1-F7+G7+H7-I7),0)</calculatedColumnFormula>
    </tableColumn>
    <tableColumn id="16" xr3:uid="{7D634A53-B38C-4E7F-9080-66BFE299925F}" name="Pre-Orders Booked LYQ2 (apparel)" dataDxfId="183" dataCellStyle="Comma">
      <calculatedColumnFormula>IFERROR(J7/(1+L7+M7-N7-K7),0)</calculatedColumnFormula>
    </tableColumn>
    <tableColumn id="17" xr3:uid="{F9D921E1-AB5F-404E-A480-2E63FC2019C0}" name="Tot Net Sales Invoiced (units)" dataDxfId="182" dataCellStyle="Comma">
      <calculatedColumnFormula>E7+J7</calculatedColumnFormula>
    </tableColumn>
    <tableColumn id="18" xr3:uid="{1ACA6B2C-DEDA-44A6-921E-A99BE4B4276D}" name="Tot PreOrder  Invoiced (units)" dataDxfId="181" dataCellStyle="Comma">
      <calculatedColumnFormula>'SS24 Q2 Data'!$P7+Q7</calculatedColumnFormula>
    </tableColumn>
    <tableColumn id="19" xr3:uid="{9A03D891-4959-494E-AD70-D838C0200121}" name="Pre-Order Cancellations Mix Shoes" dataDxfId="180" dataCellStyle="Comma">
      <calculatedColumnFormula>ROUND(P7*F7,0)</calculatedColumnFormula>
    </tableColumn>
    <tableColumn id="20" xr3:uid="{58F50E0F-CFCB-454C-A917-5A9E8F89EDA1}" name="Re-Order Rate %7" dataDxfId="179" dataCellStyle="Comma">
      <calculatedColumnFormula>ROUND(P7*G7,0)</calculatedColumnFormula>
    </tableColumn>
    <tableColumn id="21" xr3:uid="{439E61F2-F056-42CA-B4C6-2386E6D37CE2}" name="Stock Clearance Rate %8" dataDxfId="178" dataCellStyle="Comma">
      <calculatedColumnFormula>ROUND(P7*H7,0)</calculatedColumnFormula>
    </tableColumn>
    <tableColumn id="22" xr3:uid="{3F1C774D-0D94-4979-AEFC-FAB6A7E18613}" name="Returns Rate %9" dataDxfId="177" dataCellStyle="Comma">
      <calculatedColumnFormula>ROUND(P7*I7,0)</calculatedColumnFormula>
    </tableColumn>
    <tableColumn id="23" xr3:uid="{B29616AD-5894-4D16-AC02-A49E305A10A1}" name="Pre-Order Cancellations  Mix %Apparel" dataDxfId="176" dataCellStyle="Comma">
      <calculatedColumnFormula>ROUND(Q7*K7,0)</calculatedColumnFormula>
    </tableColumn>
    <tableColumn id="24" xr3:uid="{8679B94C-48EC-436E-8E79-E8EC9B3A4C87}" name="Re-Order Rate %11" dataDxfId="175" dataCellStyle="Comma">
      <calculatedColumnFormula>ROUND(Q7*L7,0)</calculatedColumnFormula>
    </tableColumn>
    <tableColumn id="25" xr3:uid="{5BA10063-3CA5-4E80-9AEA-DD7701247E9C}" name="Stock Clearance Rate %12" dataDxfId="174" dataCellStyle="Comma">
      <calculatedColumnFormula>ROUND(Q7*M7,0)</calculatedColumnFormula>
    </tableColumn>
    <tableColumn id="26" xr3:uid="{CBDDF48A-4A5C-4B82-B7EE-CEF773EAC179}" name="Returns Rate %13" dataDxfId="173" dataCellStyle="Comma">
      <calculatedColumnFormula>ROUND(Q7*M7,0)</calculatedColumnFormula>
    </tableColumn>
    <tableColumn id="27" xr3:uid="{750497AB-609E-429C-84CF-F251CF489FE0}" name="Apparel vs Shoes Sell/Out" dataDxfId="172" dataCellStyle="Percent">
      <calculatedColumnFormula>J7/E7</calculatedColumnFormula>
    </tableColumn>
    <tableColumn id="28" xr3:uid="{CF1D8CF9-760E-4707-9D81-7ED5FA64D89D}" name="Column1" dataDxfId="171"/>
    <tableColumn id="29" xr3:uid="{22793195-AB58-4877-80BB-C42B971DCEC9}" name="Tot Cancellation" dataDxfId="170" dataCellStyle="Comma">
      <calculatedColumnFormula>Table3[[#This Row],[Pre-Order Cancellations Mix Shoes]]+Table3[[#This Row],[Pre-Order Cancellations  Mix %Apparel]]</calculatedColumnFormula>
    </tableColumn>
    <tableColumn id="30" xr3:uid="{961CB10B-0E82-4775-9292-2426E4C43C49}" name="Cancellation %" dataDxfId="169" dataCellStyle="Percent">
      <calculatedColumnFormula>Table3[[#This Row],[Tot Cancellation]]/Table3[[#This Row],[Tot PreOrder  Invoiced (units)]]</calculatedColumnFormula>
    </tableColumn>
    <tableColumn id="31" xr3:uid="{108D476E-3303-4B36-AC77-9BA02CD6F323}" name="ToT Reorders" dataDxfId="168" dataCellStyle="Comma">
      <calculatedColumnFormula>Table3[[#This Row],[Re-Order Rate %7]]+Table3[[#This Row],[Re-Order Rate %11]]</calculatedColumnFormula>
    </tableColumn>
    <tableColumn id="32" xr3:uid="{97F7B342-22E4-4C8F-85E2-E6E65879ACD4}" name="Reorder %" dataDxfId="167" dataCellStyle="Percent">
      <calculatedColumnFormula>Table3[[#This Row],[ToT Reorders]]/Table3[[#This Row],[Tot Net Sales Invoiced (units)]]</calculatedColumnFormula>
    </tableColumn>
    <tableColumn id="33" xr3:uid="{CA90DC56-F245-443F-BE53-8A7FED1BB48F}" name="ToT Stock Clearance" dataDxfId="166" dataCellStyle="Comma">
      <calculatedColumnFormula>Table3[[#This Row],[Stock Clearance Rate %8]]+Table3[[#This Row],[Stock Clearance Rate %12]]</calculatedColumnFormula>
    </tableColumn>
    <tableColumn id="34" xr3:uid="{47031B1F-B323-4061-B3C0-9051E6E9C815}" name="Tot Stock Clearance %" dataDxfId="165" dataCellStyle="Percent">
      <calculatedColumnFormula>Table3[[#This Row],[ToT Stock Clearance]]/Table3[[#This Row],[Tot PreOrder  Invoiced (units)]]</calculatedColumnFormula>
    </tableColumn>
    <tableColumn id="35" xr3:uid="{8C2A20F2-BB2E-4F76-A0A5-B077C2B70027}" name="ToT Retruns" dataDxfId="164" dataCellStyle="Comma">
      <calculatedColumnFormula>Table3[[#This Row],[Returns Rate %13]]+Table3[[#This Row],[Returns Rate %9]]</calculatedColumnFormula>
    </tableColumn>
    <tableColumn id="36" xr3:uid="{0581F7BE-E384-46D7-97B4-C859FD7E64DB}" name="Tot Returns %" dataDxfId="163" dataCellStyle="Percent">
      <calculatedColumnFormula>Table3[[#This Row],[ToT Retruns]]/Table3[[#This Row],[Tot PreOrder  Invoiced (units)]]</calculatedColumnFormula>
    </tableColumn>
    <tableColumn id="37" xr3:uid="{7D78064D-4C5B-4C57-B18A-265C04EF5135}" name="FC Cancellation Mix %Shoes" dataDxfId="162"/>
    <tableColumn id="38" xr3:uid="{9062373F-9ADB-482F-90F2-CF8011B4B2B6}" name="Re-Order Rate % FC" dataDxfId="161"/>
    <tableColumn id="39" xr3:uid="{3C27EB8B-3D99-43A7-89EF-E0B43E72D612}" name="Stock Clearance Rate %2" dataDxfId="160"/>
    <tableColumn id="40" xr3:uid="{F71C1775-6468-4A82-B484-0E94B41570F2}" name="Returns Rate %2" dataDxfId="159"/>
    <tableColumn id="41" xr3:uid="{E3EB7EEF-77E7-41FC-8B91-2D089A883899}" name="Exp Shoes PreOrder Growth Rate" dataDxfId="158">
      <calculatedColumnFormula>$AQ$2</calculatedColumnFormula>
    </tableColumn>
    <tableColumn id="42" xr3:uid="{FA35FBFC-3F3B-45A1-9D76-47142CEE5243}" name="Exp Apparel PreOrder Growth Rate" dataDxfId="157">
      <calculatedColumnFormula>Table3[[#This Row],[Re-Order Rate %4]]-Table3[[#This Row],[Pre-Order Cancellations  Mix %2]]-Table3[[#This Row],[Returns Rate %6]]</calculatedColumnFormula>
    </tableColumn>
    <tableColumn id="43" xr3:uid="{582EDCB5-60A1-4A8C-9C29-F61F3A168B17}" name="Tommaso's FC Q2 SS5 Net Sales FC Shoes" dataDxfId="156">
      <calculatedColumnFormula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calculatedColumnFormula>
    </tableColumn>
    <tableColumn id="46" xr3:uid="{1B66ED98-6B71-4FD1-951F-55208E83AF00}" name="Exp YoY Shoes" dataDxfId="155" dataCellStyle="Percent">
      <calculatedColumnFormula>Table3[[#This Row],[Tommaso''s FC Q2 SS5 Net Sales FC Shoes]]/Table3[[#This Row],[Net Sales Invoiced Shoes]]-1</calculatedColumnFormula>
    </tableColumn>
    <tableColumn id="44" xr3:uid="{1457DBD5-7134-4D5D-9D3A-9187F6DC1B85}" name="Tommaso's FC Q2 SS5 Net Sales FC Apparel" dataDxfId="154">
      <calculatedColumnFormula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calculatedColumnFormula>
    </tableColumn>
    <tableColumn id="45" xr3:uid="{52F247F8-C7CC-408F-B688-AAED8A843BB2}" name="Exp YoY Apparel" dataDxfId="153">
      <calculatedColumnFormula>Table3[[#This Row],[Tommaso''s FC Q2 SS5 Net Sales FC Apparel]]/Table3[[#This Row],[Net Sales Invoiced Apparel]]-1</calculatedColumnFormula>
    </tableColumn>
    <tableColumn id="47" xr3:uid="{C9247407-0EB3-4460-B76D-26430D700C12}" name="Actual Order Book Shoes " dataDxfId="152" dataCellStyle="Comma"/>
    <tableColumn id="48" xr3:uid="{4EB96B01-C09A-40F3-A8A5-51FD0371D6D5}" name="Actual Order Book Apparel " dataDxfId="151" dataCellStyle="Comma"/>
    <tableColumn id="50" xr3:uid="{9F4D826B-4397-43DB-B9D5-C16B68DE565A}" name="Deviation from Tommaso's suggestion Shoes" dataDxfId="150" dataCellStyle="Percent">
      <calculatedColumnFormula>Table3[[#This Row],[Actual Order Book Shoes ]]/Table3[[#This Row],[Tommaso''s FC Q2 SS5 Net Sales FC Shoes]]-1</calculatedColumnFormula>
    </tableColumn>
    <tableColumn id="51" xr3:uid="{4C0ECD33-EE75-44F3-B21D-352D9F024252}" name="Deviation from Tommaso's suggestion Apparel" dataDxfId="149" dataCellStyle="Percent">
      <calculatedColumnFormula>Table3[[#This Row],[Actual Order Book Apparel ]]/Table3[[#This Row],[Tommaso''s FC Q2 SS5 Net Sales FC Apparel]]-1</calculatedColumnFormula>
    </tableColumn>
    <tableColumn id="52" xr3:uid="{14AB6AC3-6994-4A0F-ABA6-E76395CB936C}" name="YoY on Net Sales Shoes" dataDxfId="148" dataCellStyle="Percent">
      <calculatedColumnFormula>Table3[[#This Row],[Actual Order Book Shoes ]]/Table3[[#This Row],[Net Sales Invoiced Shoes]]-1</calculatedColumnFormula>
    </tableColumn>
    <tableColumn id="53" xr3:uid="{DCF2B666-1C2C-4965-8107-ABDAD5710B28}" name="YoY on Net Sales Apparel" dataDxfId="147" dataCellStyle="Percent">
      <calculatedColumnFormula>IFERROR(Table3[[#This Row],[Actual Order Book Apparel ]]/Table3[[#This Row],[Net Sales Invoiced Apparel]]-1,"")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D6541-69D6-4CD8-9BDD-BCC59D731669}" name="Table1" displayName="Table1" ref="A4:CK27" totalsRowShown="0" tableBorderDxfId="107">
  <autoFilter ref="A4:CK27" xr:uid="{5B1D6541-69D6-4CD8-9BDD-BCC59D731669}"/>
  <sortState xmlns:xlrd2="http://schemas.microsoft.com/office/spreadsheetml/2017/richdata2" ref="A5:CK27">
    <sortCondition descending="1" ref="AO4:AO27"/>
  </sortState>
  <tableColumns count="89">
    <tableColumn id="1" xr3:uid="{D706C9DC-511C-4F91-BC2C-C159231628A5}" name="Sub Region" dataDxfId="106"/>
    <tableColumn id="2" xr3:uid="{D260F902-D0A3-432C-97EF-621EDDD4FADD}" name="Market" dataDxfId="105"/>
    <tableColumn id="3" xr3:uid="{499B2A80-C4EA-4774-A83D-DE36A8F7698A}" name="Account" dataDxfId="104"/>
    <tableColumn id="48" xr3:uid="{FB58A422-25FB-441D-8D1D-845AA1EB32AD}" name="Concat Support" dataDxfId="103">
      <calculatedColumnFormula>_xlfn.CONCAT(Table1[[#This Row],[Sub Region]:[Account]])</calculatedColumnFormula>
    </tableColumn>
    <tableColumn id="43" xr3:uid="{E9825424-F307-4D45-8E9A-1BD66D999F88}" name="Client Vertical" dataDxfId="102">
      <calculatedColumnFormula>_xlfn.IFNA(VLOOKUP(Table1[[#This Row],[Account]],'Account Information'!$A$4:$B$18,2,FALSE),"")</calculatedColumnFormula>
    </tableColumn>
    <tableColumn id="4" xr3:uid="{C42299ED-EAEB-48EC-8BD3-E937FE3CC155}" name="Value (€)" dataDxfId="101"/>
    <tableColumn id="5" xr3:uid="{9970F997-E864-4FD8-BD22-0956C640F32A}" name="Units" dataDxfId="100"/>
    <tableColumn id="78" xr3:uid="{9327CF27-C1C2-41CB-B488-73B096C5AA2D}" name="% Budget share" dataDxfId="99" dataCellStyle="Percent">
      <calculatedColumnFormula>Table1[[#This Row],[Units]]/$G$2</calculatedColumnFormula>
    </tableColumn>
    <tableColumn id="6" xr3:uid="{BA6E3FC1-01C2-4E42-806D-344039BAAE85}" name="Exp ASP" dataDxfId="98">
      <calculatedColumnFormula>F5/G5</calculatedColumnFormula>
    </tableColumn>
    <tableColumn id="63" xr3:uid="{7B6CC87A-5765-4091-8F03-234516B6FF31}" name="Shoe Budget Units" dataDxfId="97" dataCellStyle="Comma">
      <calculatedColumnFormula>Table1[[#This Row],[Units]]*(1-'Hypotesis Panel'!$F$46)</calculatedColumnFormula>
    </tableColumn>
    <tableColumn id="62" xr3:uid="{75BF11C0-DBC8-4381-98E9-4EA70A9ABACF}" name="Apparel Budget Units" dataDxfId="96" dataCellStyle="Comma">
      <calculatedColumnFormula>Table1[[#This Row],[Units]]-Table1[[#This Row],[Shoe Budget Units]]</calculatedColumnFormula>
    </tableColumn>
    <tableColumn id="7" xr3:uid="{EBF663D9-2DD0-430B-A04E-C6F358C84B8A}" name="Net Sales (€)" dataDxfId="95"/>
    <tableColumn id="8" xr3:uid="{E3AF7981-B5AD-495A-9B68-7DD045BF6257}" name="Pre-Orders Invoiced (units)" dataDxfId="94"/>
    <tableColumn id="55" xr3:uid="{1593D3DA-A0C8-4C71-90E9-190842FC1950}" name="Net Sales Units" dataDxfId="93">
      <calculatedColumnFormula>Table1[[#This Row],[Pre-Orders Invoiced (units)]]-Table1[[#This Row],[Cancellations (units)]]+Table1[[#This Row],[Re-Orders Invoiced (units)]]+Table1[[#This Row],[Stock Clearance Invoiced (units)]]+Table1[[#This Row],[Returns Processed (units)]]</calculatedColumnFormula>
    </tableColumn>
    <tableColumn id="56" xr3:uid="{8AE9DCEA-8D51-4036-85DE-66772C768883}" name="Actual ASP Shoes per channel" dataDxfId="92">
      <calculatedColumnFormula>Table1[[#This Row],[Net Sales (€)]]/Table1[[#This Row],[Net Sales Units]]</calculatedColumnFormula>
    </tableColumn>
    <tableColumn id="9" xr3:uid="{1BA21E15-3723-449A-A174-1412CCAF9E3C}" name="Cancellations (units)" dataDxfId="91"/>
    <tableColumn id="23" xr3:uid="{C8DBC3AC-7BAA-45BF-B352-F4664A4AD99D}" name="Can%" dataDxfId="90" dataCellStyle="Percent">
      <calculatedColumnFormula>Table1[[#This Row],[Cancellations (units)]]/Table1[[#This Row],[Pre-Orders Invoiced (units)]]</calculatedColumnFormula>
    </tableColumn>
    <tableColumn id="10" xr3:uid="{C3EBBCBF-9240-4C2E-B9BC-970DD29CDE79}" name="Re-Orders Invoiced (units)" dataDxfId="89"/>
    <tableColumn id="25" xr3:uid="{9AEEBA39-AA37-4F80-B6C5-DE8A730B3695}" name="ReOrder %" dataDxfId="88" dataCellStyle="Percent">
      <calculatedColumnFormula>Table1[[#This Row],[Re-Orders Invoiced (units)]]/Table1[[#This Row],[Pre-Orders Invoiced (units)]]</calculatedColumnFormula>
    </tableColumn>
    <tableColumn id="11" xr3:uid="{4CB55C80-86B2-4E50-B323-7F24136AE8CE}" name="Stock Clearance Invoiced (units)" dataDxfId="87"/>
    <tableColumn id="26" xr3:uid="{554E26D3-D8D9-46EE-80B6-DE2F2D6F6B76}" name="Stock Clearance %" dataDxfId="86" dataCellStyle="Percent">
      <calculatedColumnFormula>Table1[[#This Row],[Stock Clearance Invoiced (units)]]/Table1[[#This Row],[Pre-Orders Invoiced (units)]]</calculatedColumnFormula>
    </tableColumn>
    <tableColumn id="12" xr3:uid="{D9CF26E9-F3A9-42D1-A16A-4D6BE71C5915}" name="Returns Processed (units)" dataDxfId="85"/>
    <tableColumn id="44" xr3:uid="{B903959A-5DE8-4E80-9BDD-8A1C6C128CA4}" name="Retunrs % Units" dataDxfId="84" dataCellStyle="Percent">
      <calculatedColumnFormula>Table1[[#This Row],[Returns Processed (units)]]/Table1[[#This Row],[Pre-Orders Invoiced (units)]]</calculatedColumnFormula>
    </tableColumn>
    <tableColumn id="13" xr3:uid="{31C28B20-9EBC-46A6-A7EE-916CFC06F662}" name="Net Sales (€)2" dataDxfId="83"/>
    <tableColumn id="57" xr3:uid="{03F33442-495D-4404-AECB-7208B50D16A5}" name="Net Sales (Units0" dataDxfId="82">
      <calculatedColumnFormula>Table1[[#This Row],[Pre-Orders Invoiced (units)3]]-Table1[[#This Row],[Cancellations (units)4]]+Table1[[#This Row],[Re-Orders Invoiced (units)5]]+Table1[[#This Row],[Stock Clearance Invoiced (units)6]]+Table1[[#This Row],[Returns Processed (units)7]]</calculatedColumnFormula>
    </tableColumn>
    <tableColumn id="58" xr3:uid="{F51EFE1A-EC0D-4A92-B06B-FF7A97A1E6E0}" name="Actual ASP Apparel per channel" dataDxfId="81">
      <calculatedColumnFormula>Table1[[#This Row],[Net Sales (€)2]]/Table1[[#This Row],[Net Sales (Units0]]</calculatedColumnFormula>
    </tableColumn>
    <tableColumn id="14" xr3:uid="{AD047728-9BE3-4FCA-9C18-B006953D1974}" name="Pre-Orders Invoiced (units)3" dataDxfId="80"/>
    <tableColumn id="15" xr3:uid="{4DA7E870-9357-45B9-8452-6D0045E1759C}" name="Cancellations (units)4" dataDxfId="79"/>
    <tableColumn id="49" xr3:uid="{B71B985B-B8DB-4644-AD72-5B2DA644AF76}" name="Can%2" dataDxfId="78" dataCellStyle="Percent">
      <calculatedColumnFormula>IFERROR(Table1[[#This Row],[Cancellations (units)4]]/Table1[[#This Row],[Pre-Orders Invoiced (units)3]],0)</calculatedColumnFormula>
    </tableColumn>
    <tableColumn id="16" xr3:uid="{FDD26613-C9FE-4B91-904F-A0B2D22991A8}" name="Re-Orders Invoiced (units)5" dataDxfId="77"/>
    <tableColumn id="50" xr3:uid="{675B9F90-B105-4868-881D-8FAA7EC3A411}" name="Re-Orders Invoiced (units)6" dataDxfId="76" dataCellStyle="Percent">
      <calculatedColumnFormula>IFERROR(Table1[[#This Row],[Re-Orders Invoiced (units)5]]/Table1[[#This Row],[Pre-Orders Invoiced (units)3]],0)</calculatedColumnFormula>
    </tableColumn>
    <tableColumn id="17" xr3:uid="{B8EC2178-0B33-4125-B84B-6A55FFDFFBD3}" name="Stock Clearance Invoiced (units)6" dataDxfId="75"/>
    <tableColumn id="51" xr3:uid="{AE10C205-89DB-44E4-A2AB-B81D0D5BB0DF}" name="Stock Clearance Invoiced (units)7" dataDxfId="74" dataCellStyle="Percent">
      <calculatedColumnFormula>IFERROR(Table1[[#This Row],[Stock Clearance Invoiced (units)6]]/Table1[[#This Row],[Pre-Orders Invoiced (units)3]],0)</calculatedColumnFormula>
    </tableColumn>
    <tableColumn id="18" xr3:uid="{CB4C7370-940B-4CCE-9679-11A2AFA926CD}" name="Returns Processed (units)7" dataDxfId="73"/>
    <tableColumn id="52" xr3:uid="{6445689C-204B-4C54-AB9F-1A7804068097}" name="Returns Processed (units)8" dataDxfId="72" dataCellStyle="Percent">
      <calculatedColumnFormula>IFERROR(Table1[[#This Row],[Returns Processed (units)7]]/Table1[[#This Row],[Pre-Orders Invoiced (units)3]],0)</calculatedColumnFormula>
    </tableColumn>
    <tableColumn id="53" xr3:uid="{4082C9D0-F8AF-4B21-81BC-7E970133EA5E}" name="App/Shoes Split" dataDxfId="71" dataCellStyle="Percent">
      <calculatedColumnFormula>Table1[[#This Row],[Net Sales (€)2]]/Table1[[#This Row],[Net Sales (€)]]</calculatedColumnFormula>
    </tableColumn>
    <tableColumn id="64" xr3:uid="{39C22D81-4D4D-40BE-A29C-5A1E6CEA7237}" name="Net Sales Units total" dataDxfId="70" dataCellStyle="Percent">
      <calculatedColumnFormula>Table1[[#This Row],[Net Sales (Units0]]+Table1[[#This Row],[Net Sales Units]]</calculatedColumnFormula>
    </tableColumn>
    <tableColumn id="98" xr3:uid="{55F8ABE1-5874-4780-9033-B990A36A6CEC}" name="Net Sales EUR)" dataDxfId="69">
      <calculatedColumnFormula>Table1[[#This Row],[Net Sales (€)2]]+Table1[[#This Row],[Net Sales (€)]]</calculatedColumnFormula>
    </tableColumn>
    <tableColumn id="19" xr3:uid="{2EFFDA49-0090-4A13-BDE6-FED85FF5122E}" name="Orderbook (units)" dataDxfId="68"/>
    <tableColumn id="20" xr3:uid="{09256408-53AB-4923-BCC6-0C3AF1EEB3E2}" name="Orderbook (units)8" dataDxfId="67"/>
    <tableColumn id="22" xr3:uid="{1D1E97F6-D1F6-4D2C-90FE-421B53BFA2A1}" name="Actual Net Sales(units) Shoes" dataDxfId="66">
      <calculatedColumnFormula>Table1[[#This Row],[Pre-Orders Invoiced (units)]]-Table1[[#This Row],[Cancellations (units)]]+Table1[[#This Row],[Re-Orders Invoiced (units)]]+Table1[[#This Row],[Stock Clearance Invoiced (units)]]+Table1[[#This Row],[Returns Processed (units)]]</calculatedColumnFormula>
    </tableColumn>
    <tableColumn id="46" xr3:uid="{E68315C1-DEC4-4E85-8562-5666ABA0A361}" name="Actual ASP (shoes)" dataDxfId="65">
      <calculatedColumnFormula>Table1[[#This Row],[Net Sales (€)]]/AO5</calculatedColumnFormula>
    </tableColumn>
    <tableColumn id="24" xr3:uid="{C1A2770B-E439-48E9-92A0-E14AC7621EA9}" name="Actual Net Sales(units)Apparel" dataDxfId="64">
      <calculatedColumnFormula>AA5-+AB5+Table1[[#This Row],[Re-Orders Invoiced (units)5]]+AF5+AH5</calculatedColumnFormula>
    </tableColumn>
    <tableColumn id="47" xr3:uid="{F6B50592-607D-48F4-A50F-9C97EF60B051}" name="Actual ASP (Apparel)" dataDxfId="63">
      <calculatedColumnFormula>IFERROR(Table1[[#This Row],[Net Sales (€)2]]/AQ5,"")</calculatedColumnFormula>
    </tableColumn>
    <tableColumn id="27" xr3:uid="{5471A843-C3DD-4AED-8308-D853DFF4B3EF}" name="Column2" dataDxfId="62"/>
    <tableColumn id="28" xr3:uid="{54500EE4-06BF-486A-8B35-E3F08806DF37}" name="STD Actuals SS25" dataDxfId="61" dataCellStyle="Percent">
      <calculatedColumnFormula>L5+X5</calculatedColumnFormula>
    </tableColumn>
    <tableColumn id="29" xr3:uid="{523C0F00-5134-46FD-98CF-70A4967C8ED5}" name="SS25 Phased Budget" dataDxfId="60" dataCellStyle="Percent">
      <calculatedColumnFormula>F5*$AU$1</calculatedColumnFormula>
    </tableColumn>
    <tableColumn id="30" xr3:uid="{66CBE226-9A5D-4E87-9622-D77428F56429}" name="vs Phased Plan" dataDxfId="59" dataCellStyle="Percent">
      <calculatedColumnFormula>AT5/AU5-1</calculatedColumnFormula>
    </tableColumn>
    <tableColumn id="31" xr3:uid="{C320814C-209D-41E2-8DAC-366C3B037BF7}" name="CtC" dataDxfId="58" dataCellStyle="Percent">
      <calculatedColumnFormula>AU5/$AU$2</calculatedColumnFormula>
    </tableColumn>
    <tableColumn id="32" xr3:uid="{2FD08FF9-43E7-4A6A-B8F4-014409C452C1}" name="CTC (bps)" dataDxfId="57" dataCellStyle="Percent">
      <calculatedColumnFormula>ROUND(AW5*AV5*10000,0)</calculatedColumnFormula>
    </tableColumn>
    <tableColumn id="33" xr3:uid="{8773F7F1-6524-43D1-908A-9EFD4AF072D8}" name="Column1" dataDxfId="56" dataCellStyle="Percent"/>
    <tableColumn id="34" xr3:uid="{44D31E80-D877-4D6E-8B85-453BB67AB7A3}" name="Exp Phased Q1 Shoes" dataDxfId="55">
      <calculatedColumnFormula>AU5*(1-'SS24 Q2 Data'!$AB$5)</calculatedColumnFormula>
    </tableColumn>
    <tableColumn id="35" xr3:uid="{5E77F486-167A-4061-942A-AA8D39E825B2}" name="vs Phased Plan15" dataDxfId="54" dataCellStyle="Percent">
      <calculatedColumnFormula>L5/AZ5-1</calculatedColumnFormula>
    </tableColumn>
    <tableColumn id="36" xr3:uid="{1F5C9D06-FAB2-43F7-813F-1ACDF6998842}" name="CtC16" dataDxfId="53" dataCellStyle="Percent">
      <calculatedColumnFormula>AZ5/$AZ$2</calculatedColumnFormula>
    </tableColumn>
    <tableColumn id="37" xr3:uid="{17A55956-43CD-42B8-848B-78AC5E4011F8}" name="CtC (bps)17" dataDxfId="52" dataCellStyle="Percent">
      <calculatedColumnFormula>BB5*BA5*10000</calculatedColumnFormula>
    </tableColumn>
    <tableColumn id="38" xr3:uid="{70678302-077A-4B62-9C0A-4E48A174BDAD}" name="Column18" dataDxfId="51" dataCellStyle="Percent"/>
    <tableColumn id="39" xr3:uid="{3D984749-5578-493E-9EAE-ABAD638F3BD2}" name="Exp Phased Q1 Apparel" dataDxfId="50">
      <calculatedColumnFormula>AU5*'SS24 Q2 Data'!$AB$5</calculatedColumnFormula>
    </tableColumn>
    <tableColumn id="40" xr3:uid="{F13F1153-7FD1-4402-B94E-42D99105F5D1}" name="vs Phased Plan19" dataDxfId="49" dataCellStyle="Percent">
      <calculatedColumnFormula>X5/BE5-1</calculatedColumnFormula>
    </tableColumn>
    <tableColumn id="41" xr3:uid="{1D820600-C030-4E45-92C5-935D48F9253B}" name="CtC20" dataDxfId="48" dataCellStyle="Percent">
      <calculatedColumnFormula>BE5/$BE$2</calculatedColumnFormula>
    </tableColumn>
    <tableColumn id="42" xr3:uid="{5F2E141D-FAC8-4BDC-85BF-9B8CFADF7EE1}" name="CtC (bps)21" dataDxfId="47" dataCellStyle="Percent">
      <calculatedColumnFormula>BG5*BF5*10000</calculatedColumnFormula>
    </tableColumn>
    <tableColumn id="65" xr3:uid="{BA0262FC-FB52-42CA-8D28-912F257BDECD}" name="CtC (bps)22" dataDxfId="46" dataCellStyle="Percent"/>
    <tableColumn id="59" xr3:uid="{CE3A2E7E-2E7D-470A-A525-8D50A69909F6}" name="ST% Shoes" dataDxfId="45" dataCellStyle="Percent">
      <calculatedColumnFormula>Table1[[#This Row],[Net Sales Units]]/Table1[[#This Row],[Shoe Budget Units]]</calculatedColumnFormula>
    </tableColumn>
    <tableColumn id="60" xr3:uid="{EA3EE0FA-BACC-4CA4-ABCA-541CD7F7F983}" name="ST% Apparel" dataDxfId="44" dataCellStyle="Percent">
      <calculatedColumnFormula>Table1[[#This Row],[Net Sales (Units0]]/Table1[[#This Row],[Apparel Budget Units]]</calculatedColumnFormula>
    </tableColumn>
    <tableColumn id="61" xr3:uid="{2318B6D3-B6A7-4B81-83C3-4526A3B15B2B}" name="ST% ToTal" dataDxfId="43" dataCellStyle="Percent">
      <calculatedColumnFormula>Table1[[#This Row],[Net Sales Units total]]/Table1[[#This Row],[Units]]</calculatedColumnFormula>
    </tableColumn>
    <tableColumn id="101" xr3:uid="{053BD6E0-7499-437A-8D38-84C5A1B65DC7}" name="Avg Shoes Q1 Weekly Sales" dataDxfId="42" dataCellStyle="Comma">
      <calculatedColumnFormula>ROUND(Table1[[#This Row],[Net Sales Units]]/'Hypotesis Panel'!$G$8,0)</calculatedColumnFormula>
    </tableColumn>
    <tableColumn id="66" xr3:uid="{9F1BDA9A-DE44-4FCB-8F5E-598E8920AE1F}" name="Expected WoOS Shoes" dataDxfId="41">
      <calculatedColumnFormula>ROUND('Hypotesis Panel'!$G$8/Table1[[#This Row],[ST% Shoes]],0)</calculatedColumnFormula>
    </tableColumn>
    <tableColumn id="102" xr3:uid="{B07A2A38-273C-4668-A8F6-2E07333F9466}" name="Avg Apparel Q1 Weekly Sales" dataDxfId="40" dataCellStyle="Comma">
      <calculatedColumnFormula>Table1[[#This Row],[Net Sales (Units0]]/'Hypotesis Panel'!$G$8</calculatedColumnFormula>
    </tableColumn>
    <tableColumn id="67" xr3:uid="{BFBA0E9F-A0B8-4A68-8946-A2787F9599CE}" name="Expected WoOS Apparel" dataDxfId="39">
      <calculatedColumnFormula>IFERROR(ROUND('Hypotesis Panel'!$G$8/Table1[[#This Row],[ST% Apparel]],0),"NoStock")</calculatedColumnFormula>
    </tableColumn>
    <tableColumn id="68" xr3:uid="{0A2D9367-B038-4099-B467-335289A7C917}" name="Expected WoOS Total" dataDxfId="38">
      <calculatedColumnFormula>IFERROR(ROUND('Hypotesis Panel'!$G$8/Table1[[#This Row],[ST% ToTal]],0),"")</calculatedColumnFormula>
    </tableColumn>
    <tableColumn id="69" xr3:uid="{E921FC83-8A57-4CE3-BE8F-1DA2BD60FA61}" name="WOCoverage Shoes" dataDxfId="37">
      <calculatedColumnFormula>Table1[[#This Row],[Expected WoOS Shoes]]-'Hypotesis Panel'!$G$8</calculatedColumnFormula>
    </tableColumn>
    <tableColumn id="70" xr3:uid="{CD783BC9-BE8D-4DF8-AC60-CBEAAC4FEA53}" name="WOC Apparel" dataDxfId="36">
      <calculatedColumnFormula>IFERROR(Table1[[#This Row],[Expected WoOS Apparel]]-'Hypotesis Panel'!$G$8,"")</calculatedColumnFormula>
    </tableColumn>
    <tableColumn id="71" xr3:uid="{5489C253-D02E-43AD-8FDE-6367E2C89C6B}" name="WOC Total" dataDxfId="35">
      <calculatedColumnFormula>Table1[[#This Row],[Expected WoOS Total]]-'Hypotesis Panel'!$G$8</calculatedColumnFormula>
    </tableColumn>
    <tableColumn id="74" xr3:uid="{0C46804C-9B7B-480C-BBE5-26F3EBC579A8}" name="WOS at WK26 Shoes" dataDxfId="34">
      <calculatedColumnFormula>Table1[[#This Row],[WOCoverage Shoes]]+'Hypotesis Panel'!$G$8-'Hypotesis Panel'!$F$3</calculatedColumnFormula>
    </tableColumn>
    <tableColumn id="76" xr3:uid="{4FACE0F6-D30B-4FFC-9C42-B5B0E0DF75E4}" name="Risk Shoes" dataDxfId="33">
      <calculatedColumnFormula>_xlfn.XLOOKUP(Table1[[#This Row],[WOS at WK26 Shoes]],Table2[Lower Bound],Table2[Action],,-1)</calculatedColumnFormula>
    </tableColumn>
    <tableColumn id="103" xr3:uid="{D5B84405-392B-4FB5-B461-CBECB24FFF45}" name="Euro" dataDxfId="32">
      <calculatedColumnFormula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calculatedColumnFormula>
    </tableColumn>
    <tableColumn id="75" xr3:uid="{D620E509-13D5-44EE-A171-388A865974DF}" name="WOS at WK26 Apparel" dataDxfId="31">
      <calculatedColumnFormula>Table1[[#This Row],[WOC Apparel]]+'Hypotesis Panel'!$G$8-'Hypotesis Panel'!$F$3</calculatedColumnFormula>
    </tableColumn>
    <tableColumn id="77" xr3:uid="{5D23055C-D3A1-43E0-92C2-E98B86A3C1DC}" name="Risk Apparel" dataDxfId="30">
      <calculatedColumnFormula>_xlfn.XLOOKUP(Table1[[#This Row],[WOS at WK26 Apparel]],Table2[Lower Bound],Table2[Action],,-1)</calculatedColumnFormula>
    </tableColumn>
    <tableColumn id="97" xr3:uid="{72326C3D-E90E-4E90-9525-C8717F326E08}" name="Column3" dataDxfId="29"/>
    <tableColumn id="79" xr3:uid="{6A270E36-1A24-489B-ABCB-31CEDBF9D84C}" name="Shoes Available Q2 Stock Current Season " dataDxfId="28" dataCellStyle="Comma">
      <calculatedColumnFormula>ROUND(Table1[[#This Row],[% Budget share]]*'Available Stock'!$H$6,0)</calculatedColumnFormula>
    </tableColumn>
    <tableColumn id="80" xr3:uid="{1D60C140-A925-45E9-BF20-67D8D31EB240}" name="Shoes Available Q2 Stock Old Season" dataDxfId="27" dataCellStyle="Comma">
      <calculatedColumnFormula>ROUND(Table1[[#This Row],[% Budget share]]*'Available Stock'!$I$6,0)</calculatedColumnFormula>
    </tableColumn>
    <tableColumn id="84" xr3:uid="{6E819542-C761-4A40-8654-30EC838EC51F}" name="Avg Apparel Q1 Weekly Sales2" dataDxfId="26" dataCellStyle="Comma">
      <calculatedColumnFormula>Table1[[#This Row],[Net Sales (Units0]]/'Hypotesis Panel'!$G$8</calculatedColumnFormula>
    </tableColumn>
    <tableColumn id="81" xr3:uid="{247AC874-95C7-41F6-A028-A5ACB6ED1E5F}" name="Apparel Q2 Available Stock Current Season 2" dataDxfId="25" dataCellStyle="Comma">
      <calculatedColumnFormula>ROUND(Table1[[#This Row],[% Budget share]]*'Available Stock'!$H$7,0)</calculatedColumnFormula>
    </tableColumn>
    <tableColumn id="82" xr3:uid="{2C55CBE1-48EF-49B9-AD7B-CF9E614044B6}" name="Apparel Q2Available Stock Old Season3" dataDxfId="24" dataCellStyle="Comma">
      <calculatedColumnFormula>ROUND(Table1[[#This Row],[% Budget share]]*'Available Stock'!$I$7,0)</calculatedColumnFormula>
    </tableColumn>
    <tableColumn id="85" xr3:uid="{9091FE79-49FD-4497-BDF3-73D4079DDA73}" name="Q2 Shoes New Stock WOC based on Q1 Sales Velocity" dataDxfId="23" dataCellStyle="Comma">
      <calculatedColumnFormula>Table1[[#This Row],[Shoes Available Q2 Stock Current Season ]]/#REF!</calculatedColumnFormula>
    </tableColumn>
    <tableColumn id="86" xr3:uid="{6A6B677A-156B-44B3-B471-50BC43CD4E2B}" name="Q2 Shoes Old Stock WOC based on Q1 Sales Velocity" dataDxfId="22" dataCellStyle="Comma">
      <calculatedColumnFormula>Table1[[#This Row],[Shoes Available Q2 Stock Old Season]]/#REF!</calculatedColumnFormula>
    </tableColumn>
    <tableColumn id="89" xr3:uid="{72729D25-B10A-4645-A3F4-93CBAF3E93AF}" name="ToT Q2 WOC Shoes" dataDxfId="21" dataCellStyle="Comma">
      <calculatedColumnFormula>SUM(Table1[[#This Row],[Q2 Shoes New Stock WOC based on Q1 Sales Velocity]:[Q2 Shoes Old Stock WOC based on Q1 Sales Velocity]])</calculatedColumnFormula>
    </tableColumn>
    <tableColumn id="87" xr3:uid="{BCFD96E4-C006-4D32-A996-7CB5C1C46A12}" name="Q2 Apparel New Stock WOC based on Q1 Sales Velocity" dataDxfId="20" dataCellStyle="Comma">
      <calculatedColumnFormula>IFERROR(Table1[[#This Row],[Apparel Q2 Available Stock Current Season 2]]/Table1[[#This Row],[Avg Apparel Q1 Weekly Sales2]],"")</calculatedColumnFormula>
    </tableColumn>
    <tableColumn id="88" xr3:uid="{DE2C4048-6192-4397-BBA4-7113AFB38BA6}" name="Q2 Apparel Old Stock WOC based on Q1 Sales Velocity" dataDxfId="19" dataCellStyle="Comma">
      <calculatedColumnFormula>IFERROR(Table1[[#This Row],[Apparel Q2Available Stock Old Season3]]/Table1[[#This Row],[Avg Apparel Q1 Weekly Sales2]],"")</calculatedColumnFormula>
    </tableColumn>
    <tableColumn id="90" xr3:uid="{0206116B-5A68-4B20-B2B9-629566B8F1C9}" name="Tot Q2 WoC Apparel" dataDxfId="18" dataCellStyle="Comma">
      <calculatedColumnFormula>SUM(Table1[[#This Row],[Q2 Apparel New Stock WOC based on Q1 Sales Velocity]:[Q2 Apparel Old Stock WOC based on Q1 Sales Velocity]])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64CB99-F591-453E-B105-DF5E1D38EC8A}">
  <we:reference id="e504fb41-a92a-4526-b101-542f357b7acb" version="1.14.6.0" store="\\ant.amazon.com\dept\Retail-Assistant\Retail-Assistant-Main\RAE\manifests\prod" storeType="Filesystem"/>
  <we:alternateReferences/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mailto:WOS@WK26%20Shoes" TargetMode="External"/><Relationship Id="rId1" Type="http://schemas.openxmlformats.org/officeDocument/2006/relationships/hyperlink" Target="mailto:WOS@WK26%20Shoes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B9CA-D117-434E-A84B-C1965C18B930}">
  <sheetPr>
    <tabColor theme="1"/>
  </sheetPr>
  <dimension ref="B2:C7"/>
  <sheetViews>
    <sheetView showGridLines="0" workbookViewId="0">
      <selection activeCell="E15" sqref="E15"/>
    </sheetView>
  </sheetViews>
  <sheetFormatPr defaultRowHeight="13.2"/>
  <cols>
    <col min="1" max="1" width="3.109375" customWidth="1"/>
    <col min="2" max="2" width="10.5546875" customWidth="1"/>
    <col min="3" max="3" width="13.33203125" bestFit="1" customWidth="1"/>
  </cols>
  <sheetData>
    <row r="2" spans="2:3" ht="13.8" thickBot="1"/>
    <row r="3" spans="2:3" ht="13.8" thickBot="1">
      <c r="B3" s="568" t="s">
        <v>95</v>
      </c>
      <c r="C3" s="569"/>
    </row>
    <row r="4" spans="2:3">
      <c r="B4" s="27"/>
      <c r="C4" s="33" t="s">
        <v>96</v>
      </c>
    </row>
    <row r="5" spans="2:3">
      <c r="B5" s="30"/>
      <c r="C5" s="29" t="s">
        <v>97</v>
      </c>
    </row>
    <row r="6" spans="2:3">
      <c r="B6" s="28"/>
      <c r="C6" s="29" t="s">
        <v>93</v>
      </c>
    </row>
    <row r="7" spans="2:3" ht="13.8" thickBot="1">
      <c r="B7" s="31"/>
      <c r="C7" s="32" t="s">
        <v>94</v>
      </c>
    </row>
  </sheetData>
  <mergeCells count="1"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  <outlinePr summaryBelow="0" summaryRight="0"/>
  </sheetPr>
  <dimension ref="A1:F20"/>
  <sheetViews>
    <sheetView showGridLines="0" workbookViewId="0">
      <selection activeCell="D32" sqref="D32"/>
    </sheetView>
  </sheetViews>
  <sheetFormatPr defaultColWidth="9.88671875" defaultRowHeight="13.2"/>
  <cols>
    <col min="1" max="1" width="3.77734375" style="23" customWidth="1"/>
    <col min="2" max="2" width="23.44140625" style="23" customWidth="1"/>
    <col min="3" max="5" width="18.44140625" style="23" customWidth="1"/>
    <col min="6" max="6" width="38.77734375" style="23" customWidth="1"/>
    <col min="7" max="16384" width="9.88671875" style="23"/>
  </cols>
  <sheetData>
    <row r="1" spans="1:6">
      <c r="B1" s="97" t="s">
        <v>145</v>
      </c>
      <c r="C1" s="98"/>
      <c r="D1" s="98"/>
      <c r="E1" s="99"/>
      <c r="F1" s="100"/>
    </row>
    <row r="3" spans="1:6" ht="13.8" thickBot="1"/>
    <row r="4" spans="1:6">
      <c r="A4" s="101"/>
      <c r="B4" s="170" t="s">
        <v>0</v>
      </c>
      <c r="C4" s="171"/>
      <c r="D4" s="171"/>
      <c r="E4" s="171"/>
      <c r="F4" s="172"/>
    </row>
    <row r="5" spans="1:6">
      <c r="A5" s="101"/>
      <c r="B5" s="570" t="s">
        <v>1</v>
      </c>
      <c r="C5" s="571"/>
      <c r="D5" s="571"/>
      <c r="E5" s="571"/>
      <c r="F5" s="173"/>
    </row>
    <row r="6" spans="1:6">
      <c r="A6" s="101"/>
      <c r="B6" s="174"/>
      <c r="C6" s="175"/>
      <c r="D6" s="175"/>
      <c r="E6" s="175"/>
      <c r="F6" s="173"/>
    </row>
    <row r="7" spans="1:6">
      <c r="A7" s="101"/>
      <c r="B7" s="180" t="s">
        <v>2</v>
      </c>
      <c r="C7" s="181" t="s">
        <v>3</v>
      </c>
      <c r="D7" s="175"/>
      <c r="E7" s="175"/>
      <c r="F7" s="173"/>
    </row>
    <row r="8" spans="1:6">
      <c r="A8" s="101"/>
      <c r="B8" s="174" t="s">
        <v>4</v>
      </c>
      <c r="C8" s="175" t="s">
        <v>5</v>
      </c>
      <c r="D8" s="175"/>
      <c r="E8" s="175"/>
      <c r="F8" s="173"/>
    </row>
    <row r="9" spans="1:6">
      <c r="A9" s="101"/>
      <c r="B9" s="174" t="s">
        <v>6</v>
      </c>
      <c r="C9" s="175" t="s">
        <v>7</v>
      </c>
      <c r="D9" s="175"/>
      <c r="E9" s="175"/>
      <c r="F9" s="173"/>
    </row>
    <row r="10" spans="1:6">
      <c r="A10" s="101"/>
      <c r="B10" s="174" t="s">
        <v>8</v>
      </c>
      <c r="C10" s="175" t="s">
        <v>9</v>
      </c>
      <c r="D10" s="175"/>
      <c r="E10" s="175"/>
      <c r="F10" s="173"/>
    </row>
    <row r="11" spans="1:6">
      <c r="A11" s="101"/>
      <c r="B11" s="174" t="s">
        <v>10</v>
      </c>
      <c r="C11" s="175" t="s">
        <v>11</v>
      </c>
      <c r="D11" s="175"/>
      <c r="E11" s="175"/>
      <c r="F11" s="173"/>
    </row>
    <row r="12" spans="1:6">
      <c r="A12" s="101"/>
      <c r="B12" s="174" t="s">
        <v>12</v>
      </c>
      <c r="C12" s="175" t="s">
        <v>13</v>
      </c>
      <c r="D12" s="175"/>
      <c r="E12" s="175"/>
      <c r="F12" s="173"/>
    </row>
    <row r="13" spans="1:6">
      <c r="A13" s="101"/>
      <c r="B13" s="174"/>
      <c r="C13" s="175"/>
      <c r="D13" s="175"/>
      <c r="E13" s="175"/>
      <c r="F13" s="173"/>
    </row>
    <row r="14" spans="1:6">
      <c r="A14" s="101"/>
      <c r="B14" s="174" t="s">
        <v>218</v>
      </c>
      <c r="C14" s="175" t="s">
        <v>146</v>
      </c>
      <c r="D14" s="175"/>
      <c r="E14" s="175"/>
      <c r="F14" s="173"/>
    </row>
    <row r="15" spans="1:6">
      <c r="A15" s="101"/>
      <c r="B15" s="174" t="s">
        <v>14</v>
      </c>
      <c r="C15" s="176" t="s">
        <v>147</v>
      </c>
      <c r="D15" s="175"/>
      <c r="E15" s="175"/>
      <c r="F15" s="173"/>
    </row>
    <row r="16" spans="1:6">
      <c r="A16" s="101"/>
      <c r="B16" s="174"/>
      <c r="C16" s="175"/>
      <c r="D16" s="175"/>
      <c r="E16" s="175"/>
      <c r="F16" s="173"/>
    </row>
    <row r="17" spans="1:6">
      <c r="A17" s="101"/>
      <c r="B17" s="180" t="s">
        <v>15</v>
      </c>
      <c r="C17" s="181" t="s">
        <v>3</v>
      </c>
      <c r="D17" s="175"/>
      <c r="E17" s="175"/>
      <c r="F17" s="173"/>
    </row>
    <row r="18" spans="1:6">
      <c r="A18" s="101"/>
      <c r="B18" s="174" t="s">
        <v>16</v>
      </c>
      <c r="C18" s="175" t="s">
        <v>17</v>
      </c>
      <c r="D18" s="175"/>
      <c r="E18" s="175"/>
      <c r="F18" s="173"/>
    </row>
    <row r="19" spans="1:6">
      <c r="A19" s="101"/>
      <c r="B19" s="174" t="s">
        <v>18</v>
      </c>
      <c r="C19" s="175" t="s">
        <v>19</v>
      </c>
      <c r="D19" s="175"/>
      <c r="E19" s="175"/>
      <c r="F19" s="173"/>
    </row>
    <row r="20" spans="1:6" ht="13.8" thickBot="1">
      <c r="A20" s="101"/>
      <c r="B20" s="177"/>
      <c r="C20" s="178"/>
      <c r="D20" s="178"/>
      <c r="E20" s="178"/>
      <c r="F20" s="179"/>
    </row>
  </sheetData>
  <mergeCells count="1"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79998168889431442"/>
    <outlinePr summaryBelow="0" summaryRight="0"/>
  </sheetPr>
  <dimension ref="A1:H18"/>
  <sheetViews>
    <sheetView showGridLines="0" workbookViewId="0">
      <selection activeCell="G10" sqref="G10"/>
    </sheetView>
  </sheetViews>
  <sheetFormatPr defaultColWidth="12.6640625" defaultRowHeight="15.75" customHeight="1"/>
  <cols>
    <col min="1" max="1" width="16.44140625" customWidth="1"/>
    <col min="2" max="2" width="17.77734375" customWidth="1"/>
    <col min="3" max="3" width="38.109375" bestFit="1" customWidth="1"/>
    <col min="4" max="4" width="4.6640625" customWidth="1"/>
    <col min="5" max="5" width="4.21875" customWidth="1"/>
    <col min="6" max="6" width="17.44140625" style="23" customWidth="1"/>
    <col min="7" max="7" width="22.109375" style="23" customWidth="1"/>
    <col min="8" max="8" width="37" style="23" bestFit="1" customWidth="1"/>
  </cols>
  <sheetData>
    <row r="1" spans="1:8" ht="15.75" customHeight="1">
      <c r="A1" s="96" t="s">
        <v>145</v>
      </c>
      <c r="B1" s="95"/>
      <c r="C1" s="95"/>
    </row>
    <row r="2" spans="1:8" ht="13.2">
      <c r="A2" s="137" t="s">
        <v>70</v>
      </c>
      <c r="B2" s="137"/>
      <c r="C2" s="137"/>
    </row>
    <row r="3" spans="1:8" ht="13.2">
      <c r="A3" s="138" t="s">
        <v>71</v>
      </c>
      <c r="B3" s="138" t="s">
        <v>72</v>
      </c>
      <c r="C3" s="138" t="s">
        <v>73</v>
      </c>
      <c r="F3" s="136" t="s">
        <v>72</v>
      </c>
      <c r="G3" s="136" t="s">
        <v>71</v>
      </c>
      <c r="H3" s="136" t="s">
        <v>73</v>
      </c>
    </row>
    <row r="4" spans="1:8" ht="15.75" customHeight="1">
      <c r="A4" s="139" t="s">
        <v>74</v>
      </c>
      <c r="B4" s="139" t="s">
        <v>75</v>
      </c>
      <c r="C4" s="139" t="s">
        <v>76</v>
      </c>
      <c r="F4" s="572" t="s">
        <v>79</v>
      </c>
      <c r="G4" s="35" t="s">
        <v>54</v>
      </c>
      <c r="H4" s="35" t="s">
        <v>92</v>
      </c>
    </row>
    <row r="5" spans="1:8" ht="15.75" customHeight="1">
      <c r="A5" s="139" t="s">
        <v>36</v>
      </c>
      <c r="B5" s="139" t="s">
        <v>77</v>
      </c>
      <c r="C5" s="139" t="s">
        <v>78</v>
      </c>
      <c r="F5" s="573"/>
      <c r="G5" s="35" t="s">
        <v>38</v>
      </c>
      <c r="H5" s="35" t="s">
        <v>80</v>
      </c>
    </row>
    <row r="6" spans="1:8" ht="15.75" customHeight="1">
      <c r="A6" s="139" t="s">
        <v>38</v>
      </c>
      <c r="B6" s="139" t="s">
        <v>79</v>
      </c>
      <c r="C6" s="139" t="s">
        <v>80</v>
      </c>
      <c r="F6" s="573"/>
      <c r="G6" s="35" t="s">
        <v>52</v>
      </c>
      <c r="H6" s="35" t="s">
        <v>90</v>
      </c>
    </row>
    <row r="7" spans="1:8" ht="15.75" customHeight="1">
      <c r="A7" s="139" t="s">
        <v>39</v>
      </c>
      <c r="B7" s="139" t="s">
        <v>77</v>
      </c>
      <c r="C7" s="139" t="s">
        <v>81</v>
      </c>
      <c r="F7" s="573"/>
      <c r="G7" s="35" t="s">
        <v>41</v>
      </c>
      <c r="H7" s="35" t="s">
        <v>82</v>
      </c>
    </row>
    <row r="8" spans="1:8" ht="15.75" customHeight="1">
      <c r="A8" s="139" t="s">
        <v>41</v>
      </c>
      <c r="B8" s="139" t="s">
        <v>79</v>
      </c>
      <c r="C8" s="139" t="s">
        <v>82</v>
      </c>
      <c r="F8" s="572" t="s">
        <v>75</v>
      </c>
      <c r="G8" s="35" t="s">
        <v>86</v>
      </c>
      <c r="H8" s="35" t="s">
        <v>87</v>
      </c>
    </row>
    <row r="9" spans="1:8" ht="15.75" customHeight="1">
      <c r="A9" s="139" t="s">
        <v>42</v>
      </c>
      <c r="B9" s="139" t="s">
        <v>77</v>
      </c>
      <c r="C9" s="139" t="s">
        <v>83</v>
      </c>
      <c r="F9" s="573"/>
      <c r="G9" s="35" t="s">
        <v>51</v>
      </c>
      <c r="H9" s="35" t="s">
        <v>89</v>
      </c>
    </row>
    <row r="10" spans="1:8" ht="15.75" customHeight="1">
      <c r="A10" s="139" t="s">
        <v>44</v>
      </c>
      <c r="B10" s="139" t="s">
        <v>77</v>
      </c>
      <c r="C10" s="139" t="s">
        <v>84</v>
      </c>
      <c r="F10" s="573"/>
      <c r="G10" s="35" t="s">
        <v>74</v>
      </c>
      <c r="H10" s="35" t="s">
        <v>76</v>
      </c>
    </row>
    <row r="11" spans="1:8" ht="15.75" customHeight="1">
      <c r="A11" s="139" t="s">
        <v>45</v>
      </c>
      <c r="B11" s="139" t="s">
        <v>77</v>
      </c>
      <c r="C11" s="139" t="s">
        <v>85</v>
      </c>
      <c r="F11" s="572" t="s">
        <v>77</v>
      </c>
      <c r="G11" s="35" t="s">
        <v>48</v>
      </c>
      <c r="H11" s="35" t="s">
        <v>88</v>
      </c>
    </row>
    <row r="12" spans="1:8" ht="15.75" customHeight="1">
      <c r="A12" s="141" t="s">
        <v>86</v>
      </c>
      <c r="B12" s="139" t="s">
        <v>75</v>
      </c>
      <c r="C12" s="139" t="s">
        <v>87</v>
      </c>
      <c r="F12" s="573"/>
      <c r="G12" s="35" t="s">
        <v>44</v>
      </c>
      <c r="H12" s="35" t="s">
        <v>84</v>
      </c>
    </row>
    <row r="13" spans="1:8" ht="15.75" customHeight="1">
      <c r="A13" s="139" t="s">
        <v>48</v>
      </c>
      <c r="B13" s="139" t="s">
        <v>77</v>
      </c>
      <c r="C13" s="139" t="s">
        <v>88</v>
      </c>
      <c r="F13" s="573"/>
      <c r="G13" s="35" t="s">
        <v>45</v>
      </c>
      <c r="H13" s="35" t="s">
        <v>85</v>
      </c>
    </row>
    <row r="14" spans="1:8" ht="15.75" customHeight="1">
      <c r="A14" s="139" t="s">
        <v>51</v>
      </c>
      <c r="B14" s="139" t="s">
        <v>75</v>
      </c>
      <c r="C14" s="139" t="s">
        <v>89</v>
      </c>
      <c r="F14" s="573"/>
      <c r="G14" s="35" t="s">
        <v>53</v>
      </c>
      <c r="H14" s="35" t="s">
        <v>91</v>
      </c>
    </row>
    <row r="15" spans="1:8" ht="15.75" customHeight="1">
      <c r="A15" s="139" t="s">
        <v>52</v>
      </c>
      <c r="B15" s="139" t="s">
        <v>79</v>
      </c>
      <c r="C15" s="139" t="s">
        <v>90</v>
      </c>
      <c r="F15" s="573"/>
      <c r="G15" s="35" t="s">
        <v>42</v>
      </c>
      <c r="H15" s="35" t="s">
        <v>83</v>
      </c>
    </row>
    <row r="16" spans="1:8" ht="15.75" customHeight="1">
      <c r="A16" s="139" t="s">
        <v>53</v>
      </c>
      <c r="B16" s="139" t="s">
        <v>77</v>
      </c>
      <c r="C16" s="139" t="s">
        <v>91</v>
      </c>
      <c r="F16" s="573"/>
      <c r="G16" s="35" t="s">
        <v>36</v>
      </c>
      <c r="H16" s="35" t="s">
        <v>78</v>
      </c>
    </row>
    <row r="17" spans="1:8" ht="15.75" customHeight="1">
      <c r="A17" s="139" t="s">
        <v>54</v>
      </c>
      <c r="B17" s="139" t="s">
        <v>79</v>
      </c>
      <c r="C17" s="139" t="s">
        <v>92</v>
      </c>
      <c r="F17" s="573"/>
      <c r="G17" s="35" t="s">
        <v>39</v>
      </c>
      <c r="H17" s="35" t="s">
        <v>81</v>
      </c>
    </row>
    <row r="18" spans="1:8" ht="15.75" customHeight="1">
      <c r="A18" s="140" t="s">
        <v>31</v>
      </c>
      <c r="B18" s="140" t="s">
        <v>31</v>
      </c>
      <c r="C18" s="140" t="s">
        <v>173</v>
      </c>
    </row>
  </sheetData>
  <mergeCells count="3">
    <mergeCell ref="F4:F7"/>
    <mergeCell ref="F8:F10"/>
    <mergeCell ref="F11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500A-BDE8-4E29-9A34-50E1102EDDD0}">
  <sheetPr>
    <tabColor theme="5" tint="0.59999389629810485"/>
  </sheetPr>
  <dimension ref="B1:M89"/>
  <sheetViews>
    <sheetView showGridLines="0" topLeftCell="A63" workbookViewId="0">
      <selection activeCell="I65" sqref="I65"/>
    </sheetView>
  </sheetViews>
  <sheetFormatPr defaultRowHeight="13.05" customHeight="1"/>
  <cols>
    <col min="1" max="1" width="12.88671875" customWidth="1"/>
    <col min="2" max="2" width="20.5546875" style="37" customWidth="1"/>
    <col min="3" max="3" width="18.77734375" style="37" bestFit="1" customWidth="1"/>
    <col min="4" max="4" width="14.77734375" style="35" customWidth="1"/>
    <col min="5" max="5" width="27.21875" style="37" customWidth="1"/>
    <col min="6" max="6" width="8.5546875" customWidth="1"/>
    <col min="7" max="7" width="23.88671875" style="23" customWidth="1"/>
  </cols>
  <sheetData>
    <row r="1" spans="2:8" ht="24.6">
      <c r="B1" s="55" t="s">
        <v>113</v>
      </c>
      <c r="C1" s="56"/>
      <c r="D1" s="23"/>
    </row>
    <row r="2" spans="2:8" ht="13.05" customHeight="1" thickBot="1"/>
    <row r="3" spans="2:8" ht="13.05" customHeight="1" thickBot="1">
      <c r="B3" s="50" t="s">
        <v>130</v>
      </c>
      <c r="F3" s="70">
        <v>26</v>
      </c>
      <c r="G3" s="53" t="s">
        <v>131</v>
      </c>
    </row>
    <row r="4" spans="2:8" ht="13.05" customHeight="1" thickBot="1"/>
    <row r="5" spans="2:8" ht="13.05" customHeight="1" thickBot="1">
      <c r="B5" s="47" t="s">
        <v>98</v>
      </c>
      <c r="C5" s="48" t="s">
        <v>111</v>
      </c>
      <c r="D5" s="446" t="s">
        <v>133</v>
      </c>
      <c r="E5" s="49" t="s">
        <v>112</v>
      </c>
    </row>
    <row r="6" spans="2:8" ht="13.05" customHeight="1">
      <c r="B6" s="40" t="s">
        <v>99</v>
      </c>
      <c r="C6" s="41" t="s">
        <v>100</v>
      </c>
      <c r="D6" s="447">
        <v>0.05</v>
      </c>
      <c r="E6" s="42" t="s">
        <v>101</v>
      </c>
    </row>
    <row r="7" spans="2:8" ht="13.05" customHeight="1" thickBot="1">
      <c r="B7" s="40" t="s">
        <v>102</v>
      </c>
      <c r="C7" s="41" t="s">
        <v>134</v>
      </c>
      <c r="D7" s="447">
        <v>0.35</v>
      </c>
      <c r="E7" s="42" t="s">
        <v>103</v>
      </c>
    </row>
    <row r="8" spans="2:8" ht="13.05" customHeight="1" thickBot="1">
      <c r="B8" s="38" t="s">
        <v>104</v>
      </c>
      <c r="C8" s="39" t="s">
        <v>105</v>
      </c>
      <c r="D8" s="448">
        <v>0.5</v>
      </c>
      <c r="E8" s="43" t="s">
        <v>116</v>
      </c>
      <c r="F8" s="52" t="s">
        <v>114</v>
      </c>
      <c r="G8" s="54">
        <v>14</v>
      </c>
      <c r="H8" s="53" t="s">
        <v>115</v>
      </c>
    </row>
    <row r="9" spans="2:8" ht="13.05" customHeight="1">
      <c r="B9" s="40" t="s">
        <v>106</v>
      </c>
      <c r="C9" s="41" t="s">
        <v>135</v>
      </c>
      <c r="D9" s="447">
        <v>0.08</v>
      </c>
      <c r="E9" s="42" t="s">
        <v>107</v>
      </c>
    </row>
    <row r="10" spans="2:8" ht="13.05" customHeight="1" thickBot="1">
      <c r="B10" s="44" t="s">
        <v>108</v>
      </c>
      <c r="C10" s="45" t="s">
        <v>109</v>
      </c>
      <c r="D10" s="449">
        <v>0.02</v>
      </c>
      <c r="E10" s="46" t="s">
        <v>110</v>
      </c>
    </row>
    <row r="13" spans="2:8" ht="13.05" customHeight="1">
      <c r="B13" s="50" t="s">
        <v>136</v>
      </c>
    </row>
    <row r="15" spans="2:8" ht="13.05" customHeight="1">
      <c r="B15" s="74" t="s">
        <v>138</v>
      </c>
      <c r="C15" s="74" t="s">
        <v>132</v>
      </c>
      <c r="D15" s="450" t="s">
        <v>137</v>
      </c>
      <c r="E15" s="75" t="s">
        <v>139</v>
      </c>
      <c r="F15" s="191" t="s">
        <v>194</v>
      </c>
    </row>
    <row r="16" spans="2:8" ht="13.05" customHeight="1">
      <c r="B16" s="73">
        <f>$D$16/COUNT($C$16:$C$19)</f>
        <v>1.2500000000000001E-2</v>
      </c>
      <c r="C16" s="71">
        <v>1</v>
      </c>
      <c r="D16" s="595">
        <f>D6</f>
        <v>0.05</v>
      </c>
      <c r="E16" s="76">
        <f>B16</f>
        <v>1.2500000000000001E-2</v>
      </c>
      <c r="F16" s="592">
        <f>E28</f>
        <v>0.58750000000000002</v>
      </c>
    </row>
    <row r="17" spans="2:7" ht="13.05" customHeight="1">
      <c r="B17" s="73">
        <f t="shared" ref="B17:B19" si="0">$D$16/COUNT($C$16:$C$19)</f>
        <v>1.2500000000000001E-2</v>
      </c>
      <c r="C17" s="71">
        <v>2</v>
      </c>
      <c r="D17" s="596"/>
      <c r="E17" s="76">
        <f>B17+E16</f>
        <v>2.5000000000000001E-2</v>
      </c>
      <c r="F17" s="593"/>
    </row>
    <row r="18" spans="2:7" ht="13.05" customHeight="1">
      <c r="B18" s="73">
        <f t="shared" si="0"/>
        <v>1.2500000000000001E-2</v>
      </c>
      <c r="C18" s="71">
        <v>3</v>
      </c>
      <c r="D18" s="596"/>
      <c r="E18" s="76">
        <f t="shared" ref="E18:E41" si="1">B18+E17</f>
        <v>3.7500000000000006E-2</v>
      </c>
      <c r="F18" s="593"/>
    </row>
    <row r="19" spans="2:7" ht="13.05" customHeight="1">
      <c r="B19" s="73">
        <f t="shared" si="0"/>
        <v>1.2500000000000001E-2</v>
      </c>
      <c r="C19" s="71">
        <v>4</v>
      </c>
      <c r="D19" s="596"/>
      <c r="E19" s="76">
        <f t="shared" si="1"/>
        <v>0.05</v>
      </c>
      <c r="F19" s="593"/>
    </row>
    <row r="20" spans="2:7" ht="13.05" customHeight="1">
      <c r="B20" s="73">
        <f>$D$20/COUNT($C$20:$C$25)</f>
        <v>5.8333333333333327E-2</v>
      </c>
      <c r="C20" s="71">
        <v>5</v>
      </c>
      <c r="D20" s="597">
        <f>D7</f>
        <v>0.35</v>
      </c>
      <c r="E20" s="76">
        <f t="shared" si="1"/>
        <v>0.10833333333333334</v>
      </c>
      <c r="F20" s="593"/>
    </row>
    <row r="21" spans="2:7" ht="13.05" customHeight="1">
      <c r="B21" s="73">
        <f t="shared" ref="B21:B25" si="2">$D$20/COUNT($C$20:$C$25)</f>
        <v>5.8333333333333327E-2</v>
      </c>
      <c r="C21" s="71">
        <v>6</v>
      </c>
      <c r="D21" s="597"/>
      <c r="E21" s="76">
        <f t="shared" si="1"/>
        <v>0.16666666666666666</v>
      </c>
      <c r="F21" s="593"/>
    </row>
    <row r="22" spans="2:7" ht="13.05" customHeight="1">
      <c r="B22" s="73">
        <f t="shared" si="2"/>
        <v>5.8333333333333327E-2</v>
      </c>
      <c r="C22" s="71">
        <v>7</v>
      </c>
      <c r="D22" s="597"/>
      <c r="E22" s="76">
        <f t="shared" si="1"/>
        <v>0.22499999999999998</v>
      </c>
      <c r="F22" s="593"/>
      <c r="G22" s="66" t="s">
        <v>195</v>
      </c>
    </row>
    <row r="23" spans="2:7" ht="13.05" customHeight="1">
      <c r="B23" s="73">
        <f t="shared" si="2"/>
        <v>5.8333333333333327E-2</v>
      </c>
      <c r="C23" s="71">
        <v>8</v>
      </c>
      <c r="D23" s="597"/>
      <c r="E23" s="76">
        <f t="shared" si="1"/>
        <v>0.28333333333333333</v>
      </c>
      <c r="F23" s="593"/>
    </row>
    <row r="24" spans="2:7" ht="13.05" customHeight="1">
      <c r="B24" s="73">
        <f t="shared" si="2"/>
        <v>5.8333333333333327E-2</v>
      </c>
      <c r="C24" s="71">
        <v>9</v>
      </c>
      <c r="D24" s="597"/>
      <c r="E24" s="76">
        <f t="shared" si="1"/>
        <v>0.34166666666666667</v>
      </c>
      <c r="F24" s="593"/>
    </row>
    <row r="25" spans="2:7" ht="13.05" customHeight="1">
      <c r="B25" s="73">
        <f t="shared" si="2"/>
        <v>5.8333333333333327E-2</v>
      </c>
      <c r="C25" s="71">
        <v>10</v>
      </c>
      <c r="D25" s="597"/>
      <c r="E25" s="76">
        <f t="shared" si="1"/>
        <v>0.4</v>
      </c>
      <c r="F25" s="593"/>
    </row>
    <row r="26" spans="2:7" ht="13.05" customHeight="1">
      <c r="B26" s="73">
        <f>$D$26/COUNT($C$26:$C$33)</f>
        <v>6.25E-2</v>
      </c>
      <c r="C26" s="71">
        <v>11</v>
      </c>
      <c r="D26" s="597">
        <f>D8</f>
        <v>0.5</v>
      </c>
      <c r="E26" s="76">
        <f t="shared" si="1"/>
        <v>0.46250000000000002</v>
      </c>
      <c r="F26" s="593"/>
    </row>
    <row r="27" spans="2:7" ht="13.05" customHeight="1">
      <c r="B27" s="73">
        <f t="shared" ref="B27:B33" si="3">$D$26/COUNT($C$26:$C$33)</f>
        <v>6.25E-2</v>
      </c>
      <c r="C27" s="71">
        <v>12</v>
      </c>
      <c r="D27" s="597"/>
      <c r="E27" s="76">
        <f t="shared" si="1"/>
        <v>0.52500000000000002</v>
      </c>
      <c r="F27" s="593"/>
    </row>
    <row r="28" spans="2:7" ht="13.05" customHeight="1">
      <c r="B28" s="73">
        <f t="shared" si="3"/>
        <v>6.25E-2</v>
      </c>
      <c r="C28" s="71">
        <v>13</v>
      </c>
      <c r="D28" s="597"/>
      <c r="E28" s="76">
        <f t="shared" si="1"/>
        <v>0.58750000000000002</v>
      </c>
      <c r="F28" s="594"/>
    </row>
    <row r="29" spans="2:7" ht="13.05" customHeight="1">
      <c r="B29" s="401">
        <f t="shared" si="3"/>
        <v>6.25E-2</v>
      </c>
      <c r="C29" s="402">
        <v>14</v>
      </c>
      <c r="D29" s="597"/>
      <c r="E29" s="403">
        <f t="shared" si="1"/>
        <v>0.65</v>
      </c>
      <c r="F29" s="592">
        <f>E41-F16</f>
        <v>0.4425</v>
      </c>
      <c r="G29" s="23" t="s">
        <v>291</v>
      </c>
    </row>
    <row r="30" spans="2:7" ht="13.05" customHeight="1">
      <c r="B30" s="73">
        <f t="shared" si="3"/>
        <v>6.25E-2</v>
      </c>
      <c r="C30" s="71">
        <v>15</v>
      </c>
      <c r="D30" s="597"/>
      <c r="E30" s="76">
        <f t="shared" si="1"/>
        <v>0.71250000000000002</v>
      </c>
      <c r="F30" s="593"/>
    </row>
    <row r="31" spans="2:7" ht="13.05" customHeight="1">
      <c r="B31" s="73">
        <f t="shared" si="3"/>
        <v>6.25E-2</v>
      </c>
      <c r="C31" s="71">
        <v>16</v>
      </c>
      <c r="D31" s="597"/>
      <c r="E31" s="76">
        <f t="shared" si="1"/>
        <v>0.77500000000000002</v>
      </c>
      <c r="F31" s="593"/>
    </row>
    <row r="32" spans="2:7" ht="13.05" customHeight="1">
      <c r="B32" s="73">
        <f t="shared" si="3"/>
        <v>6.25E-2</v>
      </c>
      <c r="C32" s="71">
        <v>17</v>
      </c>
      <c r="D32" s="597"/>
      <c r="E32" s="76">
        <f t="shared" si="1"/>
        <v>0.83750000000000002</v>
      </c>
      <c r="F32" s="593"/>
    </row>
    <row r="33" spans="2:7" ht="13.05" customHeight="1">
      <c r="B33" s="73">
        <f t="shared" si="3"/>
        <v>6.25E-2</v>
      </c>
      <c r="C33" s="71">
        <v>18</v>
      </c>
      <c r="D33" s="597"/>
      <c r="E33" s="76">
        <f t="shared" si="1"/>
        <v>0.9</v>
      </c>
      <c r="F33" s="593"/>
    </row>
    <row r="34" spans="2:7" ht="13.05" customHeight="1">
      <c r="B34" s="73">
        <f>$D$34/COUNT($C$34:$C$37)</f>
        <v>0.02</v>
      </c>
      <c r="C34" s="71">
        <v>19</v>
      </c>
      <c r="D34" s="598">
        <f>D9</f>
        <v>0.08</v>
      </c>
      <c r="E34" s="76">
        <f t="shared" si="1"/>
        <v>0.92</v>
      </c>
      <c r="F34" s="593"/>
    </row>
    <row r="35" spans="2:7" ht="13.05" customHeight="1">
      <c r="B35" s="73">
        <f t="shared" ref="B35:B37" si="4">$D$34/COUNT($C$34:$C$37)</f>
        <v>0.02</v>
      </c>
      <c r="C35" s="71">
        <v>20</v>
      </c>
      <c r="D35" s="599"/>
      <c r="E35" s="76">
        <f t="shared" si="1"/>
        <v>0.94000000000000006</v>
      </c>
      <c r="F35" s="593"/>
      <c r="G35" s="66" t="s">
        <v>196</v>
      </c>
    </row>
    <row r="36" spans="2:7" ht="13.05" customHeight="1">
      <c r="B36" s="73">
        <f t="shared" si="4"/>
        <v>0.02</v>
      </c>
      <c r="C36" s="71">
        <v>21</v>
      </c>
      <c r="D36" s="599"/>
      <c r="E36" s="76">
        <f t="shared" si="1"/>
        <v>0.96000000000000008</v>
      </c>
      <c r="F36" s="593"/>
    </row>
    <row r="37" spans="2:7" ht="13.05" customHeight="1">
      <c r="B37" s="73">
        <f t="shared" si="4"/>
        <v>0.02</v>
      </c>
      <c r="C37" s="71">
        <v>22</v>
      </c>
      <c r="D37" s="600"/>
      <c r="E37" s="76">
        <f t="shared" si="1"/>
        <v>0.98000000000000009</v>
      </c>
      <c r="F37" s="593"/>
    </row>
    <row r="38" spans="2:7" ht="13.05" customHeight="1">
      <c r="B38" s="73">
        <f>$D$38/COUNT($C$38:$C$41)</f>
        <v>1.2500000000000001E-2</v>
      </c>
      <c r="C38" s="71">
        <v>23</v>
      </c>
      <c r="D38" s="580">
        <v>0.05</v>
      </c>
      <c r="E38" s="76">
        <f t="shared" si="1"/>
        <v>0.99250000000000005</v>
      </c>
      <c r="F38" s="593"/>
    </row>
    <row r="39" spans="2:7" ht="13.05" customHeight="1">
      <c r="B39" s="73">
        <f t="shared" ref="B39:B41" si="5">$D$38/COUNT($C$38:$C$41)</f>
        <v>1.2500000000000001E-2</v>
      </c>
      <c r="C39" s="71">
        <v>24</v>
      </c>
      <c r="D39" s="581"/>
      <c r="E39" s="76">
        <f t="shared" si="1"/>
        <v>1.0050000000000001</v>
      </c>
      <c r="F39" s="593"/>
    </row>
    <row r="40" spans="2:7" ht="13.05" customHeight="1">
      <c r="B40" s="73">
        <f t="shared" si="5"/>
        <v>1.2500000000000001E-2</v>
      </c>
      <c r="C40" s="71">
        <v>25</v>
      </c>
      <c r="D40" s="581"/>
      <c r="E40" s="76">
        <f t="shared" si="1"/>
        <v>1.0175000000000001</v>
      </c>
      <c r="F40" s="593"/>
    </row>
    <row r="41" spans="2:7" ht="13.05" customHeight="1">
      <c r="B41" s="73">
        <f t="shared" si="5"/>
        <v>1.2500000000000001E-2</v>
      </c>
      <c r="C41" s="71">
        <v>26</v>
      </c>
      <c r="D41" s="582"/>
      <c r="E41" s="76">
        <f t="shared" si="1"/>
        <v>1.03</v>
      </c>
      <c r="F41" s="594"/>
    </row>
    <row r="44" spans="2:7" ht="13.05" customHeight="1">
      <c r="B44" s="50" t="s">
        <v>197</v>
      </c>
    </row>
    <row r="45" spans="2:7" ht="13.05" customHeight="1" thickBot="1"/>
    <row r="46" spans="2:7" ht="13.05" customHeight="1">
      <c r="B46" s="583" t="s">
        <v>295</v>
      </c>
      <c r="C46" s="584"/>
      <c r="D46" s="584"/>
      <c r="E46" s="585"/>
      <c r="F46" s="274">
        <f>'SS24 Q2 Data'!AB5</f>
        <v>8.2166496945010076E-2</v>
      </c>
    </row>
    <row r="47" spans="2:7" ht="13.05" customHeight="1">
      <c r="B47" s="586"/>
      <c r="C47" s="587"/>
      <c r="D47" s="587"/>
      <c r="E47" s="588"/>
    </row>
    <row r="48" spans="2:7" ht="13.05" customHeight="1" thickBot="1">
      <c r="B48" s="589"/>
      <c r="C48" s="590"/>
      <c r="D48" s="590"/>
      <c r="E48" s="591"/>
    </row>
    <row r="49" spans="2:8" ht="13.05" customHeight="1">
      <c r="B49" s="102"/>
      <c r="C49" s="102"/>
      <c r="D49" s="41"/>
      <c r="E49" s="102"/>
    </row>
    <row r="50" spans="2:8" ht="13.05" customHeight="1">
      <c r="B50" s="50"/>
      <c r="C50" s="102"/>
      <c r="D50" s="41"/>
      <c r="E50" s="102"/>
    </row>
    <row r="51" spans="2:8" ht="13.05" customHeight="1">
      <c r="B51" s="50" t="s">
        <v>202</v>
      </c>
    </row>
    <row r="53" spans="2:8" ht="13.05" customHeight="1">
      <c r="B53" s="34" t="s">
        <v>198</v>
      </c>
      <c r="C53" s="183" t="s">
        <v>14</v>
      </c>
      <c r="D53" s="184" t="s">
        <v>147</v>
      </c>
      <c r="E53" s="185"/>
      <c r="F53" s="185"/>
      <c r="G53" s="186"/>
      <c r="H53" s="23"/>
    </row>
    <row r="54" spans="2:8" ht="13.05" customHeight="1">
      <c r="B54" s="34" t="s">
        <v>199</v>
      </c>
      <c r="C54" s="187" t="s">
        <v>200</v>
      </c>
      <c r="D54" s="188" t="s">
        <v>201</v>
      </c>
      <c r="E54" s="189"/>
      <c r="F54" s="189"/>
      <c r="G54" s="190"/>
    </row>
    <row r="57" spans="2:8" ht="13.05" customHeight="1">
      <c r="B57" s="50" t="s">
        <v>344</v>
      </c>
      <c r="E57" s="51" t="s">
        <v>343</v>
      </c>
      <c r="F57" s="502">
        <v>0.2</v>
      </c>
    </row>
    <row r="58" spans="2:8" ht="13.05" customHeight="1" thickBot="1"/>
    <row r="59" spans="2:8" ht="13.05" customHeight="1" thickBot="1">
      <c r="B59" s="56" t="s">
        <v>288</v>
      </c>
      <c r="C59" s="400">
        <f>'Actual vs Budget '!I2</f>
        <v>60.745906140050309</v>
      </c>
      <c r="D59" s="35" t="s">
        <v>290</v>
      </c>
      <c r="E59" s="459">
        <f>C59*(1-$F$57)</f>
        <v>48.596724912040251</v>
      </c>
    </row>
    <row r="60" spans="2:8" ht="13.05" customHeight="1" thickBot="1">
      <c r="B60" s="56" t="s">
        <v>289</v>
      </c>
      <c r="C60" s="400">
        <f>'Actual vs Budget '!Z2</f>
        <v>45.24227989069076</v>
      </c>
      <c r="D60" s="35" t="s">
        <v>290</v>
      </c>
      <c r="E60" s="459">
        <f>C60*(1-$F$57)</f>
        <v>36.19382391255261</v>
      </c>
    </row>
    <row r="62" spans="2:8" ht="13.05" customHeight="1">
      <c r="B62" s="50" t="s">
        <v>320</v>
      </c>
    </row>
    <row r="64" spans="2:8" ht="13.05" customHeight="1">
      <c r="B64"/>
      <c r="D64" s="57"/>
      <c r="E64"/>
      <c r="G64"/>
    </row>
    <row r="65" spans="2:13" ht="13.05" customHeight="1" thickBot="1">
      <c r="B65"/>
      <c r="C65" s="345" t="s">
        <v>270</v>
      </c>
      <c r="D65" s="57"/>
      <c r="E65"/>
      <c r="G65"/>
    </row>
    <row r="66" spans="2:13" ht="13.05" customHeight="1">
      <c r="B66" s="262" t="s">
        <v>239</v>
      </c>
      <c r="C66" s="266">
        <f>'SS24 Q2 Data'!AL5</f>
        <v>7.2669572632369173E-2</v>
      </c>
      <c r="D66" s="57"/>
      <c r="E66" s="347" t="s">
        <v>271</v>
      </c>
      <c r="F66" s="348"/>
      <c r="G66" s="348"/>
      <c r="H66" s="348"/>
      <c r="I66" s="348"/>
      <c r="J66" s="348"/>
      <c r="K66" s="348"/>
      <c r="L66" s="348"/>
      <c r="M66" s="353"/>
    </row>
    <row r="67" spans="2:13" ht="13.05" customHeight="1">
      <c r="B67" s="262" t="s">
        <v>60</v>
      </c>
      <c r="C67" s="266">
        <f>'SS24 Q2 Data'!AM5</f>
        <v>0.13121820796453906</v>
      </c>
      <c r="D67" s="57"/>
      <c r="E67" s="349" t="s">
        <v>272</v>
      </c>
      <c r="F67" s="350"/>
      <c r="G67" s="350"/>
      <c r="H67" s="350"/>
      <c r="I67" s="350"/>
      <c r="J67" s="350"/>
      <c r="K67" s="350"/>
      <c r="L67" s="350"/>
      <c r="M67" s="354"/>
    </row>
    <row r="68" spans="2:13" ht="13.05" customHeight="1">
      <c r="B68" s="262" t="s">
        <v>237</v>
      </c>
      <c r="C68" s="266">
        <f>'Pivot SS24Q2 Summary'!M9</f>
        <v>1.1346493356798852E-2</v>
      </c>
      <c r="D68" s="57"/>
      <c r="E68" s="349" t="s">
        <v>273</v>
      </c>
      <c r="F68" s="350"/>
      <c r="G68" s="350"/>
      <c r="H68" s="350"/>
      <c r="I68" s="350"/>
      <c r="J68" s="350"/>
      <c r="K68" s="350"/>
      <c r="L68" s="350"/>
      <c r="M68" s="354"/>
    </row>
    <row r="69" spans="2:13" ht="13.05" customHeight="1" thickBot="1">
      <c r="B69" s="263" t="s">
        <v>238</v>
      </c>
      <c r="C69" s="268">
        <f>'SS24 Q2 Data'!AO5</f>
        <v>3.0000000000000006E-2</v>
      </c>
      <c r="D69" s="57"/>
      <c r="E69" s="351" t="s">
        <v>274</v>
      </c>
      <c r="F69" s="352"/>
      <c r="G69" s="352"/>
      <c r="H69" s="352"/>
      <c r="I69" s="352"/>
      <c r="J69" s="352"/>
      <c r="K69" s="352"/>
      <c r="L69" s="352"/>
      <c r="M69" s="355"/>
    </row>
    <row r="70" spans="2:13" ht="13.05" customHeight="1">
      <c r="D70" s="57"/>
      <c r="E70"/>
    </row>
    <row r="71" spans="2:13" ht="13.05" customHeight="1">
      <c r="E71"/>
    </row>
    <row r="72" spans="2:13" ht="13.05" customHeight="1">
      <c r="B72" s="50" t="s">
        <v>318</v>
      </c>
      <c r="E72"/>
    </row>
    <row r="73" spans="2:13" ht="13.05" customHeight="1">
      <c r="E73"/>
    </row>
    <row r="74" spans="2:13" ht="13.05" customHeight="1">
      <c r="B74" s="441" t="s">
        <v>316</v>
      </c>
      <c r="C74" s="442" t="s">
        <v>317</v>
      </c>
      <c r="D74" s="445" t="s">
        <v>319</v>
      </c>
    </row>
    <row r="75" spans="2:13" ht="13.05" customHeight="1">
      <c r="B75" s="443" t="str">
        <f>"-∞&lt;WOS@WK26&lt;0"</f>
        <v>-∞&lt;WOS@WK26&lt;0</v>
      </c>
      <c r="C75" s="444">
        <v>-1000000000</v>
      </c>
      <c r="D75" s="451" t="s">
        <v>313</v>
      </c>
    </row>
    <row r="76" spans="2:13" ht="12" customHeight="1">
      <c r="B76" s="443" t="str">
        <f>"0&lt;WOS@WK26&lt;1"</f>
        <v>0&lt;WOS@WK26&lt;1</v>
      </c>
      <c r="C76" s="425">
        <v>0</v>
      </c>
      <c r="D76" s="452" t="s">
        <v>261</v>
      </c>
    </row>
    <row r="77" spans="2:13" ht="13.05" customHeight="1">
      <c r="B77" s="443" t="str">
        <f>"4&lt;WOS@WK26&lt;6"</f>
        <v>4&lt;WOS@WK26&lt;6</v>
      </c>
      <c r="C77" s="425">
        <v>4</v>
      </c>
      <c r="D77" s="452" t="s">
        <v>312</v>
      </c>
    </row>
    <row r="80" spans="2:13" ht="13.05" customHeight="1">
      <c r="B80" s="50" t="s">
        <v>325</v>
      </c>
    </row>
    <row r="81" spans="2:6" ht="13.05" customHeight="1" thickBot="1">
      <c r="E81" s="35"/>
      <c r="F81" s="35"/>
    </row>
    <row r="82" spans="2:6" ht="13.05" customHeight="1">
      <c r="B82" s="574" t="s">
        <v>326</v>
      </c>
      <c r="C82" s="575"/>
      <c r="E82" s="35"/>
      <c r="F82" s="35"/>
    </row>
    <row r="83" spans="2:6" ht="13.05" customHeight="1">
      <c r="B83" s="576"/>
      <c r="C83" s="577"/>
      <c r="E83" s="35"/>
      <c r="F83" s="35"/>
    </row>
    <row r="84" spans="2:6" ht="13.05" customHeight="1">
      <c r="B84" s="576"/>
      <c r="C84" s="577"/>
      <c r="E84" s="35"/>
      <c r="F84" s="35"/>
    </row>
    <row r="85" spans="2:6" ht="13.05" customHeight="1">
      <c r="B85" s="576"/>
      <c r="C85" s="577"/>
      <c r="E85" s="35"/>
      <c r="F85" s="35"/>
    </row>
    <row r="86" spans="2:6" ht="13.05" customHeight="1">
      <c r="B86" s="576"/>
      <c r="C86" s="577"/>
      <c r="E86" s="35"/>
      <c r="F86" s="35"/>
    </row>
    <row r="87" spans="2:6" ht="13.05" customHeight="1" thickBot="1">
      <c r="B87" s="578"/>
      <c r="C87" s="579"/>
      <c r="E87" s="35"/>
      <c r="F87" s="35"/>
    </row>
    <row r="88" spans="2:6" ht="13.05" customHeight="1">
      <c r="E88" s="35"/>
      <c r="F88" s="35"/>
    </row>
    <row r="89" spans="2:6" ht="13.05" customHeight="1">
      <c r="E89" s="35"/>
      <c r="F89" s="35"/>
    </row>
  </sheetData>
  <mergeCells count="9">
    <mergeCell ref="B82:C87"/>
    <mergeCell ref="D38:D41"/>
    <mergeCell ref="B46:E48"/>
    <mergeCell ref="F16:F28"/>
    <mergeCell ref="F29:F41"/>
    <mergeCell ref="D16:D19"/>
    <mergeCell ref="D20:D25"/>
    <mergeCell ref="D26:D33"/>
    <mergeCell ref="D34:D37"/>
  </mergeCells>
  <conditionalFormatting sqref="D75:D77">
    <cfRule type="cellIs" dxfId="9" priority="1" operator="equal">
      <formula>"Monitor"</formula>
    </cfRule>
    <cfRule type="cellIs" dxfId="8" priority="2" operator="equal">
      <formula>"Overstock"</formula>
    </cfRule>
    <cfRule type="cellIs" dxfId="7" priority="3" operator="equal">
      <formula>"Stock Out Risk"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A6B47D-556D-4DD6-87BF-E90DB3FAF71F}">
          <x14:formula1>
            <xm:f>'Support Sheet (don''t touch)'!$A$2:$A$27</xm:f>
          </x14:formula1>
          <xm:sqref>G8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  <outlinePr summaryBelow="0" summaryRight="0"/>
  </sheetPr>
  <dimension ref="B1:M17"/>
  <sheetViews>
    <sheetView showGridLines="0" workbookViewId="0">
      <selection activeCell="J13" sqref="J13"/>
    </sheetView>
  </sheetViews>
  <sheetFormatPr defaultColWidth="12.6640625" defaultRowHeight="15.75" customHeight="1"/>
  <cols>
    <col min="1" max="1" width="2.77734375" customWidth="1"/>
    <col min="2" max="2" width="13.44140625" customWidth="1"/>
    <col min="3" max="3" width="10.109375" customWidth="1"/>
    <col min="4" max="4" width="14.44140625" bestFit="1" customWidth="1"/>
    <col min="5" max="5" width="10.21875" customWidth="1"/>
    <col min="6" max="6" width="2.21875" customWidth="1"/>
    <col min="7" max="7" width="23" style="24" bestFit="1" customWidth="1"/>
    <col min="8" max="8" width="13.88671875" style="24" bestFit="1" customWidth="1"/>
    <col min="9" max="9" width="10.33203125" style="24" bestFit="1" customWidth="1"/>
    <col min="10" max="10" width="13.109375" style="24" bestFit="1" customWidth="1"/>
    <col min="11" max="11" width="12.44140625" style="24" bestFit="1" customWidth="1"/>
    <col min="12" max="12" width="13.6640625" style="24" bestFit="1" customWidth="1"/>
  </cols>
  <sheetData>
    <row r="1" spans="2:13" ht="15.75" customHeight="1" thickBot="1"/>
    <row r="2" spans="2:13" ht="13.8" thickBot="1">
      <c r="B2" s="96" t="s">
        <v>145</v>
      </c>
      <c r="C2" s="95"/>
      <c r="D2" s="95"/>
      <c r="E2" s="95"/>
      <c r="G2" s="454" t="s">
        <v>178</v>
      </c>
      <c r="H2" s="455"/>
      <c r="I2" s="455"/>
      <c r="J2" s="455"/>
      <c r="K2" s="455"/>
      <c r="L2" s="456"/>
    </row>
    <row r="3" spans="2:13" ht="15.75" customHeight="1">
      <c r="B3" s="1" t="s">
        <v>63</v>
      </c>
      <c r="C3" s="2"/>
      <c r="D3" s="3"/>
      <c r="G3" s="452" t="s">
        <v>324</v>
      </c>
    </row>
    <row r="4" spans="2:13" ht="15.75" customHeight="1" thickBot="1">
      <c r="B4" s="7"/>
      <c r="C4" s="7"/>
      <c r="D4" s="7"/>
      <c r="E4" s="7"/>
    </row>
    <row r="5" spans="2:13" ht="13.2">
      <c r="B5" s="11" t="s">
        <v>64</v>
      </c>
      <c r="C5" s="12"/>
      <c r="D5" s="12"/>
      <c r="E5" s="13"/>
      <c r="G5" s="157" t="s">
        <v>174</v>
      </c>
      <c r="H5" s="157" t="s">
        <v>175</v>
      </c>
      <c r="I5" s="157" t="s">
        <v>68</v>
      </c>
      <c r="J5" s="157" t="s">
        <v>141</v>
      </c>
      <c r="K5" s="157" t="s">
        <v>176</v>
      </c>
      <c r="L5" s="157" t="s">
        <v>177</v>
      </c>
    </row>
    <row r="6" spans="2:13" ht="13.2">
      <c r="B6" s="14" t="s">
        <v>65</v>
      </c>
      <c r="C6" s="6"/>
      <c r="D6" s="5" t="s">
        <v>66</v>
      </c>
      <c r="E6" s="15"/>
      <c r="G6" s="551" t="s">
        <v>65</v>
      </c>
      <c r="H6" s="158">
        <v>973440</v>
      </c>
      <c r="I6" s="158">
        <v>584064</v>
      </c>
      <c r="J6" s="159">
        <f>SUM(H6:I6)</f>
        <v>1557504</v>
      </c>
      <c r="K6" s="158">
        <f>SUM(Table3[[Actual Order Book Shoes ]])</f>
        <v>748800</v>
      </c>
      <c r="L6" s="161">
        <f>J6/K6</f>
        <v>2.08</v>
      </c>
    </row>
    <row r="7" spans="2:13" ht="15.75" customHeight="1">
      <c r="B7" s="16" t="s">
        <v>67</v>
      </c>
      <c r="C7" s="17" t="s">
        <v>68</v>
      </c>
      <c r="D7" s="17" t="s">
        <v>69</v>
      </c>
      <c r="E7" s="18" t="s">
        <v>68</v>
      </c>
      <c r="G7" s="552" t="s">
        <v>66</v>
      </c>
      <c r="H7" s="158">
        <v>145552</v>
      </c>
      <c r="I7" s="158">
        <v>40755</v>
      </c>
      <c r="J7" s="159">
        <f>SUM(H7:I7)</f>
        <v>186307</v>
      </c>
      <c r="K7" s="158">
        <f>SUM(Table3[[Actual Order Book Apparel ]])</f>
        <v>100381</v>
      </c>
      <c r="L7" s="161">
        <f>J7/K7</f>
        <v>1.855998645161933</v>
      </c>
    </row>
    <row r="8" spans="2:13" ht="15.75" customHeight="1">
      <c r="B8" s="19">
        <v>973440</v>
      </c>
      <c r="C8" s="20">
        <v>584064</v>
      </c>
      <c r="D8" s="20">
        <v>145552.44999999998</v>
      </c>
      <c r="E8" s="21">
        <v>40754.686000000002</v>
      </c>
      <c r="G8" s="157" t="s">
        <v>141</v>
      </c>
      <c r="H8" s="160">
        <f>SUM(H6:H7)</f>
        <v>1118992</v>
      </c>
      <c r="I8" s="160">
        <f>SUM(I6:I7)</f>
        <v>624819</v>
      </c>
      <c r="J8" s="160">
        <f>SUM(J6:J7)</f>
        <v>1743811</v>
      </c>
      <c r="K8" s="160">
        <v>849181</v>
      </c>
      <c r="L8" s="165">
        <f>J8/K8</f>
        <v>2.053520980803857</v>
      </c>
    </row>
    <row r="9" spans="2:13" ht="15.75" customHeight="1">
      <c r="B9" s="7"/>
      <c r="C9" s="7"/>
      <c r="D9" s="7"/>
      <c r="E9" s="7"/>
    </row>
    <row r="10" spans="2:13" ht="15.75" customHeight="1">
      <c r="G10" s="601" t="s">
        <v>179</v>
      </c>
      <c r="H10" s="601"/>
      <c r="I10" s="601"/>
      <c r="J10" s="163">
        <f>H6-K6</f>
        <v>224640</v>
      </c>
      <c r="K10" s="596" t="s">
        <v>181</v>
      </c>
      <c r="L10" s="596"/>
    </row>
    <row r="11" spans="2:13" ht="15.75" customHeight="1">
      <c r="G11" s="601" t="s">
        <v>180</v>
      </c>
      <c r="H11" s="601"/>
      <c r="I11" s="601"/>
      <c r="J11" s="163">
        <f>H7-K7</f>
        <v>45171</v>
      </c>
      <c r="K11" s="596"/>
      <c r="L11" s="596"/>
    </row>
    <row r="12" spans="2:13" ht="15.75" customHeight="1">
      <c r="G12" s="601" t="s">
        <v>322</v>
      </c>
      <c r="H12" s="601"/>
      <c r="I12" s="601"/>
      <c r="J12" s="164">
        <f>I6*M12</f>
        <v>28383597.539025877</v>
      </c>
      <c r="K12" s="162" t="s">
        <v>284</v>
      </c>
      <c r="L12" s="24" t="s">
        <v>290</v>
      </c>
      <c r="M12" s="471">
        <f>'Hypotesis Panel'!E59</f>
        <v>48.596724912040251</v>
      </c>
    </row>
    <row r="13" spans="2:13" ht="15.75" customHeight="1">
      <c r="G13" s="601" t="s">
        <v>323</v>
      </c>
      <c r="H13" s="601"/>
      <c r="I13" s="601"/>
      <c r="J13" s="164">
        <f>I7*M13</f>
        <v>1475079.2935560816</v>
      </c>
      <c r="K13" s="162" t="s">
        <v>66</v>
      </c>
      <c r="L13" s="24" t="s">
        <v>290</v>
      </c>
      <c r="M13" s="471">
        <f>'Hypotesis Panel'!E60</f>
        <v>36.19382391255261</v>
      </c>
    </row>
    <row r="14" spans="2:13" ht="15.75" customHeight="1">
      <c r="J14" s="164">
        <f>SUM(J12:J13)</f>
        <v>29858676.83258196</v>
      </c>
    </row>
    <row r="16" spans="2:13" ht="15.75" customHeight="1">
      <c r="L16" s="23"/>
    </row>
    <row r="17" spans="12:12" ht="15.75" customHeight="1">
      <c r="L17" s="23"/>
    </row>
  </sheetData>
  <mergeCells count="5">
    <mergeCell ref="K10:L11"/>
    <mergeCell ref="G10:I10"/>
    <mergeCell ref="G11:I11"/>
    <mergeCell ref="G12:I12"/>
    <mergeCell ref="G13:I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  <outlinePr summaryBelow="0" summaryRight="0"/>
  </sheetPr>
  <dimension ref="A1:BG32"/>
  <sheetViews>
    <sheetView showGridLines="0" zoomScale="71" zoomScaleNormal="71" workbookViewId="0">
      <pane xSplit="3" ySplit="6" topLeftCell="AH7" activePane="bottomRight" state="frozen"/>
      <selection pane="topRight" activeCell="D1" sqref="D1"/>
      <selection pane="bottomLeft" activeCell="A7" sqref="A7"/>
      <selection pane="bottomRight" activeCell="R23" sqref="R23"/>
    </sheetView>
  </sheetViews>
  <sheetFormatPr defaultColWidth="12.21875" defaultRowHeight="13.2" outlineLevelCol="1"/>
  <cols>
    <col min="1" max="1" width="12.6640625" customWidth="1"/>
    <col min="2" max="2" width="17.21875" bestFit="1" customWidth="1"/>
    <col min="3" max="3" width="18.77734375" bestFit="1" customWidth="1"/>
    <col min="4" max="4" width="12.33203125" customWidth="1"/>
    <col min="5" max="5" width="9.21875" customWidth="1"/>
    <col min="6" max="6" width="10" customWidth="1"/>
    <col min="7" max="14" width="9.21875" customWidth="1"/>
    <col min="15" max="15" width="1.6640625" customWidth="1"/>
    <col min="16" max="17" width="9.21875" style="24" customWidth="1" outlineLevel="1"/>
    <col min="18" max="18" width="9.21875" style="168" customWidth="1" outlineLevel="1"/>
    <col min="19" max="19" width="9.21875" customWidth="1" outlineLevel="1"/>
    <col min="20" max="20" width="11.88671875" customWidth="1" outlineLevel="1"/>
    <col min="21" max="27" width="9.21875" customWidth="1" outlineLevel="1"/>
    <col min="28" max="28" width="9.21875" style="24" customWidth="1" outlineLevel="1"/>
    <col min="29" max="29" width="1.88671875" style="24" customWidth="1" outlineLevel="1"/>
    <col min="30" max="30" width="11.21875" customWidth="1" outlineLevel="1"/>
    <col min="31" max="31" width="11.21875" style="194" customWidth="1" outlineLevel="1"/>
    <col min="32" max="32" width="12.77734375" customWidth="1" outlineLevel="1"/>
    <col min="33" max="33" width="11.21875" style="194" customWidth="1" outlineLevel="1"/>
    <col min="34" max="37" width="11.21875" customWidth="1" outlineLevel="1"/>
    <col min="38" max="38" width="11.44140625" customWidth="1"/>
    <col min="39" max="41" width="7.88671875" customWidth="1"/>
    <col min="42" max="42" width="16.77734375" style="24" bestFit="1" customWidth="1"/>
    <col min="43" max="43" width="18" style="24" bestFit="1" customWidth="1"/>
    <col min="44" max="44" width="18" bestFit="1" customWidth="1"/>
    <col min="45" max="45" width="11.21875" style="78" customWidth="1"/>
    <col min="50" max="50" width="14.77734375" style="87" customWidth="1"/>
    <col min="51" max="51" width="15.109375" customWidth="1"/>
    <col min="52" max="52" width="10.44140625" style="78" customWidth="1"/>
    <col min="53" max="53" width="13.21875" style="77" customWidth="1"/>
  </cols>
  <sheetData>
    <row r="1" spans="1:59" ht="13.8" thickBot="1">
      <c r="A1" s="196" t="s">
        <v>145</v>
      </c>
      <c r="B1" s="197"/>
      <c r="C1" s="197"/>
      <c r="D1" s="197"/>
      <c r="E1" s="198"/>
      <c r="F1" s="199"/>
      <c r="G1" s="199"/>
      <c r="H1" s="199"/>
      <c r="I1" s="199"/>
      <c r="J1" s="198"/>
      <c r="K1" s="199"/>
      <c r="L1" s="199"/>
      <c r="M1" s="199"/>
      <c r="N1" s="200"/>
      <c r="O1" s="192"/>
      <c r="P1" s="460" t="s">
        <v>93</v>
      </c>
      <c r="Q1" s="461"/>
      <c r="R1" s="462"/>
      <c r="S1" s="462"/>
      <c r="T1" s="462"/>
      <c r="U1" s="462"/>
      <c r="V1" s="462"/>
      <c r="W1" s="462"/>
      <c r="X1" s="462"/>
      <c r="Y1" s="462"/>
      <c r="Z1" s="462"/>
      <c r="AA1" s="463"/>
      <c r="AB1" s="463"/>
      <c r="AC1" s="463"/>
      <c r="AD1" s="463"/>
      <c r="AE1" s="464"/>
      <c r="AF1" s="463"/>
      <c r="AG1" s="464"/>
      <c r="AH1" s="463"/>
      <c r="AI1" s="463"/>
      <c r="AJ1" s="463"/>
      <c r="AK1" s="463"/>
      <c r="AL1" s="463"/>
      <c r="AM1" s="463"/>
      <c r="AN1" s="463"/>
      <c r="AO1" s="465"/>
      <c r="AP1" s="545" t="s">
        <v>243</v>
      </c>
      <c r="AQ1" s="72">
        <v>0.68</v>
      </c>
      <c r="AR1" s="25" t="s">
        <v>248</v>
      </c>
      <c r="AS1" s="466"/>
      <c r="AT1" s="463"/>
      <c r="AU1" s="463"/>
      <c r="AV1" s="463"/>
      <c r="AW1" s="463"/>
      <c r="AX1" s="467"/>
      <c r="AY1" s="463"/>
      <c r="AZ1" s="468"/>
      <c r="BA1" s="469"/>
      <c r="BB1" s="463"/>
      <c r="BC1" s="463"/>
      <c r="BD1" s="463"/>
      <c r="BE1" s="463"/>
      <c r="BF1" s="463"/>
      <c r="BG1" s="465"/>
    </row>
    <row r="2" spans="1:59" ht="17.399999999999999">
      <c r="A2" s="1" t="s">
        <v>55</v>
      </c>
      <c r="B2" s="2"/>
      <c r="C2" s="2"/>
      <c r="D2" s="2"/>
      <c r="E2" s="3"/>
      <c r="J2" s="3"/>
      <c r="O2" s="166"/>
      <c r="P2" s="166"/>
      <c r="Q2" s="166"/>
      <c r="R2" s="617" t="s">
        <v>184</v>
      </c>
      <c r="S2" s="618"/>
      <c r="T2" s="619"/>
      <c r="AD2" s="602" t="s">
        <v>213</v>
      </c>
      <c r="AE2" s="603"/>
      <c r="AP2" s="546" t="s">
        <v>247</v>
      </c>
      <c r="AQ2" s="72">
        <v>0.25</v>
      </c>
    </row>
    <row r="3" spans="1:59" ht="13.8" thickBot="1">
      <c r="A3" s="2"/>
      <c r="B3" s="2"/>
      <c r="C3" s="2"/>
      <c r="D3" s="2"/>
      <c r="O3" s="166"/>
      <c r="R3" s="617"/>
      <c r="S3" s="618"/>
      <c r="T3" s="619"/>
      <c r="AD3" s="604"/>
      <c r="AE3" s="605"/>
    </row>
    <row r="4" spans="1:59" ht="13.8" thickBot="1">
      <c r="A4" s="2"/>
      <c r="B4" s="2"/>
      <c r="C4" s="2"/>
      <c r="D4" s="2"/>
      <c r="E4" s="606" t="s">
        <v>56</v>
      </c>
      <c r="F4" s="607"/>
      <c r="G4" s="607"/>
      <c r="H4" s="607"/>
      <c r="I4" s="608"/>
      <c r="J4" s="606" t="s">
        <v>57</v>
      </c>
      <c r="K4" s="607"/>
      <c r="L4" s="607"/>
      <c r="M4" s="607"/>
      <c r="N4" s="608"/>
      <c r="O4" s="166"/>
      <c r="P4" s="615" t="s">
        <v>203</v>
      </c>
      <c r="Q4" s="616"/>
      <c r="R4" s="225"/>
      <c r="S4" s="226"/>
      <c r="T4" s="609" t="s">
        <v>128</v>
      </c>
      <c r="U4" s="610"/>
      <c r="V4" s="610"/>
      <c r="W4" s="611"/>
      <c r="X4" s="612" t="s">
        <v>129</v>
      </c>
      <c r="Y4" s="613"/>
      <c r="Z4" s="613"/>
      <c r="AA4" s="614"/>
      <c r="AL4" s="326" t="s">
        <v>264</v>
      </c>
    </row>
    <row r="5" spans="1:59" ht="13.8" thickBot="1">
      <c r="A5" s="2"/>
      <c r="B5" s="2"/>
      <c r="C5" s="204" t="s">
        <v>212</v>
      </c>
      <c r="D5" s="282"/>
      <c r="E5" s="206">
        <f>SUM('SS24 Q2 Data'!$E$7:$E$29)</f>
        <v>785600.00000000105</v>
      </c>
      <c r="F5" s="279">
        <f>SUMPRODUCT('SS24 Q2 Data'!$F$7:$F$29,'SS24 Q2 Data'!$P$7:$P$29)/SUM('SS24 Q2 Data'!$P$7:$P$29)</f>
        <v>0.13712505479031936</v>
      </c>
      <c r="G5" s="279">
        <f>SUMPRODUCT($G$7:$G$29,'SS24 Q2 Data'!$P$7:$P$29)/SUM('SS24 Q2 Data'!$P$7:$P$29)</f>
        <v>0.149147652782294</v>
      </c>
      <c r="H5" s="279">
        <f>SUMPRODUCT($H$7:$H$29,'SS24 Q2 Data'!$P$7:$P$29)/SUM('SS24 Q2 Data'!$P$7:$P$29)</f>
        <v>1.1346493356798848E-2</v>
      </c>
      <c r="I5" s="279">
        <f>SUMPRODUCT($I$7:$I$29,'SS24 Q2 Data'!$P$7:$P$29)/SUM('SS24 Q2 Data'!$P$7:$P$29)</f>
        <v>3.3306571222295384E-2</v>
      </c>
      <c r="J5" s="206">
        <f>SUM('SS24 Q2 Data'!$J$7:$J$29)</f>
        <v>64550</v>
      </c>
      <c r="K5" s="203">
        <f>SUMPRODUCT('SS24 Q2 Data'!$K$7:$K$29,'SS24 Q2 Data'!$Q$7:$Q$29)/SUM('SS24 Q2 Data'!$Q$7:$Q$29)</f>
        <v>0.17246251444309305</v>
      </c>
      <c r="L5" s="203">
        <f>SUMPRODUCT($L$7:$L$29,'SS24 Q2 Data'!$Q$7:$Q$29)/SUM('SS24 Q2 Data'!$Q$7:$Q$29)</f>
        <v>0.14708894016024818</v>
      </c>
      <c r="M5" s="203">
        <f>SUMPRODUCT($M$7:$M$29,'SS24 Q2 Data'!$Q$7:$Q$29)/SUM('SS24 Q2 Data'!$Q$7:$Q$29)</f>
        <v>2.1136871126448864E-3</v>
      </c>
      <c r="N5" s="203">
        <f>SUMPRODUCT($N$7:$N$29,'SS24 Q2 Data'!$Q$7:$Q$29)/SUM('SS24 Q2 Data'!$Q$7:$Q$29)</f>
        <v>4.2690528436859346E-2</v>
      </c>
      <c r="O5" s="166"/>
      <c r="P5" s="214">
        <f>SUM('SS24 Q2 Data'!$P$7:$P$29)</f>
        <v>793485.24363859638</v>
      </c>
      <c r="Q5" s="215">
        <f>SUM('SS24 Q2 Data'!$Q$7:$Q$29)</f>
        <v>69107.68023300654</v>
      </c>
      <c r="R5" s="227">
        <f>SUM('SS24 Q2 Data'!$R$7:$R$29)</f>
        <v>850150.00000000105</v>
      </c>
      <c r="S5" s="228">
        <f>SUM('SS24 Q2 Data'!$S$7:$S$29)</f>
        <v>862592.92387160263</v>
      </c>
      <c r="T5" s="220">
        <f>SUM('SS24 Q2 Data'!$T$7:$T$29)</f>
        <v>108808</v>
      </c>
      <c r="U5" s="202">
        <f>SUM('SS24 Q2 Data'!$U$7:$U$29)</f>
        <v>118347</v>
      </c>
      <c r="V5" s="202">
        <f>SUM('SS24 Q2 Data'!$V$7:$V$29)</f>
        <v>9003</v>
      </c>
      <c r="W5" s="221">
        <f>SUM('SS24 Q2 Data'!$W$7:$W$29)</f>
        <v>26430</v>
      </c>
      <c r="X5" s="240">
        <f>SUM('SS24 Q2 Data'!$X$7:$X$29)</f>
        <v>11917</v>
      </c>
      <c r="Y5" s="241">
        <f>SUM('SS24 Q2 Data'!$Y$7:$Y$29)</f>
        <v>10165</v>
      </c>
      <c r="Z5" s="241">
        <f>SUM('SS24 Q2 Data'!$Z$7:$Z$29)</f>
        <v>146</v>
      </c>
      <c r="AA5" s="242">
        <f>SUM('SS24 Q2 Data'!$AA$7:$AA$29)</f>
        <v>146</v>
      </c>
      <c r="AB5" s="405">
        <f>SUMPRODUCT($AB$7:$AB$29,$E$7:$E$29)/SUM($E$7:$E$29)</f>
        <v>8.2166496945010076E-2</v>
      </c>
      <c r="AD5" s="236">
        <f>SUM('SS24 Q2 Data'!$AD$7:$AD$29)</f>
        <v>120725</v>
      </c>
      <c r="AE5" s="233">
        <f>SUMPRODUCT('SS24 Q2 Data'!$AE$7:$AE$29,'SS24 Q2 Data'!$S$7:$S$29)/SUM('SS24 Q2 Data'!$S$7:$S$29)</f>
        <v>0.13995593594501823</v>
      </c>
      <c r="AF5" s="237">
        <f>SUM('SS24 Q2 Data'!$AF$7:$AF$29)</f>
        <v>128512</v>
      </c>
      <c r="AG5" s="238">
        <f>SUMPRODUCT('SS24 Q2 Data'!$AG$7:$AG$29,'SS24 Q2 Data'!$R$7:$R$29)/SUM('SS24 Q2 Data'!$R$7:$R$29)</f>
        <v>0.15116391225077908</v>
      </c>
      <c r="AH5" s="239">
        <f>SUM(AH7:AH29)</f>
        <v>9149</v>
      </c>
      <c r="AI5" s="238">
        <f>SUMPRODUCT(AI7:AI29,'SS24 Q2 Data'!$S$7:$S$29)/SUM('SS24 Q2 Data'!$S$7:$S$29)</f>
        <v>1.0606393522145138E-2</v>
      </c>
      <c r="AJ5" s="237">
        <f>SUM(AJ7:AJ29)</f>
        <v>26576</v>
      </c>
      <c r="AK5" s="238">
        <f>SUMPRODUCT(AK7:AK29,'SS24 Q2 Data'!$S$7:$S$29)/SUM('SS24 Q2 Data'!$S$7:$S$29)</f>
        <v>3.0809434281837269E-2</v>
      </c>
      <c r="AL5" s="87">
        <f>SUMPRODUCT(Table3[FC Cancellation Mix %Shoes],Table3[Tommaso''s FC Q2 SS5 Net Sales FC Shoes])/SUM(Table3[Tommaso''s FC Q2 SS5 Net Sales FC Shoes])</f>
        <v>7.2669572632369173E-2</v>
      </c>
      <c r="AM5" s="87">
        <f>SUMPRODUCT(Table3[Re-Order Rate % FC],Table3[Tommaso''s FC Q2 SS5 Net Sales FC Shoes])/SUM(Table3[Tommaso''s FC Q2 SS5 Net Sales FC Shoes])</f>
        <v>0.13121820796453906</v>
      </c>
      <c r="AN5" s="87">
        <f>SUMPRODUCT(Table3[Stock Clearance Rate %2],Table3[Tommaso''s FC Q2 SS5 Net Sales FC Shoes])/SUM(Table3[Tommaso''s FC Q2 SS5 Net Sales FC Shoes])</f>
        <v>1.0000000000000005E-2</v>
      </c>
      <c r="AO5" s="87">
        <f>SUMPRODUCT(Table3[Returns Rate %2],Table3[Tommaso''s FC Q2 SS5 Net Sales FC Shoes])/SUM(Table3[Tommaso''s FC Q2 SS5 Net Sales FC Shoes])</f>
        <v>3.0000000000000006E-2</v>
      </c>
      <c r="AZ5" s="77"/>
    </row>
    <row r="6" spans="1:59" s="36" customFormat="1" ht="79.8" thickBot="1">
      <c r="A6" s="201" t="s">
        <v>26</v>
      </c>
      <c r="B6" s="182" t="s">
        <v>27</v>
      </c>
      <c r="C6" s="205" t="s">
        <v>28</v>
      </c>
      <c r="D6" s="182" t="s">
        <v>257</v>
      </c>
      <c r="E6" s="521" t="s">
        <v>228</v>
      </c>
      <c r="F6" s="522" t="s">
        <v>59</v>
      </c>
      <c r="G6" s="522" t="s">
        <v>60</v>
      </c>
      <c r="H6" s="522" t="s">
        <v>61</v>
      </c>
      <c r="I6" s="523" t="s">
        <v>62</v>
      </c>
      <c r="J6" s="524" t="s">
        <v>229</v>
      </c>
      <c r="K6" s="525" t="s">
        <v>209</v>
      </c>
      <c r="L6" s="525" t="s">
        <v>185</v>
      </c>
      <c r="M6" s="525" t="s">
        <v>186</v>
      </c>
      <c r="N6" s="526" t="s">
        <v>187</v>
      </c>
      <c r="O6" s="193" t="s">
        <v>204</v>
      </c>
      <c r="P6" s="541" t="s">
        <v>183</v>
      </c>
      <c r="Q6" s="527" t="s">
        <v>182</v>
      </c>
      <c r="R6" s="229" t="s">
        <v>205</v>
      </c>
      <c r="S6" s="230" t="s">
        <v>206</v>
      </c>
      <c r="T6" s="542" t="s">
        <v>230</v>
      </c>
      <c r="U6" s="543" t="s">
        <v>188</v>
      </c>
      <c r="V6" s="543" t="s">
        <v>189</v>
      </c>
      <c r="W6" s="544" t="s">
        <v>190</v>
      </c>
      <c r="X6" s="528" t="s">
        <v>231</v>
      </c>
      <c r="Y6" s="529" t="s">
        <v>191</v>
      </c>
      <c r="Z6" s="529" t="s">
        <v>192</v>
      </c>
      <c r="AA6" s="530" t="s">
        <v>193</v>
      </c>
      <c r="AB6" s="289" t="s">
        <v>144</v>
      </c>
      <c r="AC6" s="232" t="s">
        <v>168</v>
      </c>
      <c r="AD6" s="290" t="s">
        <v>207</v>
      </c>
      <c r="AE6" s="291" t="s">
        <v>208</v>
      </c>
      <c r="AF6" s="292" t="s">
        <v>210</v>
      </c>
      <c r="AG6" s="292" t="s">
        <v>211</v>
      </c>
      <c r="AH6" s="293" t="s">
        <v>214</v>
      </c>
      <c r="AI6" s="293" t="s">
        <v>215</v>
      </c>
      <c r="AJ6" s="292" t="s">
        <v>216</v>
      </c>
      <c r="AK6" s="294" t="s">
        <v>217</v>
      </c>
      <c r="AL6" s="342" t="s">
        <v>236</v>
      </c>
      <c r="AM6" s="343" t="s">
        <v>240</v>
      </c>
      <c r="AN6" s="343" t="s">
        <v>241</v>
      </c>
      <c r="AO6" s="344" t="s">
        <v>242</v>
      </c>
      <c r="AP6" s="531" t="s">
        <v>250</v>
      </c>
      <c r="AQ6" s="287" t="s">
        <v>249</v>
      </c>
      <c r="AR6" s="532" t="s">
        <v>262</v>
      </c>
      <c r="AS6" s="533" t="s">
        <v>245</v>
      </c>
      <c r="AT6" s="534" t="s">
        <v>263</v>
      </c>
      <c r="AU6" s="535" t="s">
        <v>246</v>
      </c>
      <c r="AV6" s="540" t="s">
        <v>251</v>
      </c>
      <c r="AW6" s="536" t="s">
        <v>252</v>
      </c>
      <c r="AX6" s="539" t="s">
        <v>253</v>
      </c>
      <c r="AY6" s="536" t="s">
        <v>254</v>
      </c>
      <c r="AZ6" s="538" t="s">
        <v>255</v>
      </c>
      <c r="BA6" s="537" t="s">
        <v>256</v>
      </c>
    </row>
    <row r="7" spans="1:59" ht="15.6">
      <c r="A7" s="560" t="s">
        <v>34</v>
      </c>
      <c r="B7" s="561" t="s">
        <v>35</v>
      </c>
      <c r="C7" s="562" t="s">
        <v>31</v>
      </c>
      <c r="D7" s="169" t="s">
        <v>261</v>
      </c>
      <c r="E7" s="207">
        <v>34800</v>
      </c>
      <c r="F7" s="251">
        <v>0.20799999999999999</v>
      </c>
      <c r="G7" s="195">
        <v>0.26400000000000001</v>
      </c>
      <c r="H7" s="195">
        <v>0.104</v>
      </c>
      <c r="I7" s="208">
        <v>5.5E-2</v>
      </c>
      <c r="J7" s="209">
        <v>1500</v>
      </c>
      <c r="K7" s="60">
        <v>0.14199999999999999</v>
      </c>
      <c r="L7" s="252">
        <v>6.4809999999999999</v>
      </c>
      <c r="M7" s="61">
        <v>0</v>
      </c>
      <c r="N7" s="277">
        <v>0.14399999999999999</v>
      </c>
      <c r="O7" s="166"/>
      <c r="P7" s="216">
        <f t="shared" ref="P7:P29" si="0">IFERROR(E7/(1-F7+G7+H7-I7),0)</f>
        <v>31493.212669683253</v>
      </c>
      <c r="Q7" s="217">
        <f t="shared" ref="Q7:Q29" si="1">IFERROR(J7/(1+L7+M7-N7-K7),0)</f>
        <v>208.47810979847117</v>
      </c>
      <c r="R7" s="216">
        <f t="shared" ref="R7:R29" si="2">E7+J7</f>
        <v>36300</v>
      </c>
      <c r="S7" s="217">
        <f>'SS24 Q2 Data'!$P13+Q7</f>
        <v>6489.0084656951922</v>
      </c>
      <c r="T7" s="295">
        <f t="shared" ref="T7:T29" si="3">ROUND(P7*F7,0)</f>
        <v>6551</v>
      </c>
      <c r="U7" s="296">
        <f t="shared" ref="U7:U29" si="4">ROUND(P7*G7,0)</f>
        <v>8314</v>
      </c>
      <c r="V7" s="296">
        <f t="shared" ref="V7:V29" si="5">ROUND(P7*H7,0)</f>
        <v>3275</v>
      </c>
      <c r="W7" s="297">
        <f t="shared" ref="W7:W29" si="6">ROUND(P7*I7,0)</f>
        <v>1732</v>
      </c>
      <c r="X7" s="295">
        <f t="shared" ref="X7:X29" si="7">ROUND(Q7*K7,0)</f>
        <v>30</v>
      </c>
      <c r="Y7" s="296">
        <f t="shared" ref="Y7:Y29" si="8">ROUND(Q7*L7,0)</f>
        <v>1351</v>
      </c>
      <c r="Z7" s="296">
        <f t="shared" ref="Z7:Z29" si="9">ROUND(Q7*M7,0)</f>
        <v>0</v>
      </c>
      <c r="AA7" s="296">
        <f t="shared" ref="AA7:AA29" si="10">ROUND(Q7*M7,0)</f>
        <v>0</v>
      </c>
      <c r="AB7" s="281">
        <f t="shared" ref="AB7:AB29" si="11">J7/E7</f>
        <v>4.3103448275862072E-2</v>
      </c>
      <c r="AC7" s="298"/>
      <c r="AD7" s="299">
        <f>Table3[[#This Row],[Pre-Order Cancellations Mix Shoes]]+Table3[[#This Row],[Pre-Order Cancellations  Mix %Apparel]]</f>
        <v>6581</v>
      </c>
      <c r="AE7" s="302">
        <f>Table3[[#This Row],[Tot Cancellation]]/Table3[[#This Row],[Tot PreOrder  Invoiced (units)]]</f>
        <v>1.0141765163030887</v>
      </c>
      <c r="AF7" s="299">
        <f>Table3[[#This Row],[Re-Order Rate %7]]+Table3[[#This Row],[Re-Order Rate %11]]</f>
        <v>9665</v>
      </c>
      <c r="AG7" s="306">
        <f>Table3[[#This Row],[ToT Reorders]]/Table3[[#This Row],[Tot Net Sales Invoiced (units)]]</f>
        <v>0.26625344352617081</v>
      </c>
      <c r="AH7" s="299">
        <f>Table3[[#This Row],[Stock Clearance Rate %8]]+Table3[[#This Row],[Stock Clearance Rate %12]]</f>
        <v>3275</v>
      </c>
      <c r="AI7" s="306">
        <f>Table3[[#This Row],[ToT Stock Clearance]]/Table3[[#This Row],[Tot PreOrder  Invoiced (units)]]</f>
        <v>0.50469960353937326</v>
      </c>
      <c r="AJ7" s="299">
        <f>Table3[[#This Row],[Returns Rate %13]]+Table3[[#This Row],[Returns Rate %9]]</f>
        <v>1732</v>
      </c>
      <c r="AK7" s="305">
        <f>Table3[[#This Row],[ToT Retruns]]/Table3[[#This Row],[Tot PreOrder  Invoiced (units)]]</f>
        <v>0.26691288956647158</v>
      </c>
      <c r="AL7" s="333">
        <v>0.1</v>
      </c>
      <c r="AM7" s="313">
        <v>0.15</v>
      </c>
      <c r="AN7" s="313">
        <v>0.01</v>
      </c>
      <c r="AO7" s="334">
        <v>0.03</v>
      </c>
      <c r="AP7" s="346">
        <v>0.1</v>
      </c>
      <c r="AQ7" s="288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6.1949999999999994</v>
      </c>
      <c r="AR7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37476.923076923071</v>
      </c>
      <c r="AS7" s="267">
        <f>Table3[[#This Row],[Tommaso''s FC Q2 SS5 Net Sales FC Shoes]]/Table3[[#This Row],[Net Sales Invoiced Shoes]]-1</f>
        <v>7.692307692307665E-2</v>
      </c>
      <c r="AT7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1518.7630298818624</v>
      </c>
      <c r="AU7" s="321">
        <f>Table3[[#This Row],[Tommaso''s FC Q2 SS5 Net Sales FC Apparel]]/Table3[[#This Row],[Net Sales Invoiced Apparel]]-1</f>
        <v>1.2508686587908269E-2</v>
      </c>
      <c r="AV7" s="316">
        <v>33600</v>
      </c>
      <c r="AW7" s="316">
        <v>3564</v>
      </c>
      <c r="AX7" s="317">
        <f>Table3[[#This Row],[Actual Order Book Shoes ]]/Table3[[#This Row],[Tommaso''s FC Q2 SS5 Net Sales FC Shoes]]-1</f>
        <v>-0.10344827586206884</v>
      </c>
      <c r="AY7" s="317">
        <f>Table3[[#This Row],[Actual Order Book Apparel ]]/Table3[[#This Row],[Tommaso''s FC Q2 SS5 Net Sales FC Apparel]]-1</f>
        <v>1.3466465339739191</v>
      </c>
      <c r="AZ7" s="318">
        <f>Table3[[#This Row],[Actual Order Book Shoes ]]/Table3[[#This Row],[Net Sales Invoiced Shoes]]-1</f>
        <v>-3.4482758620689613E-2</v>
      </c>
      <c r="BA7" s="319">
        <f>IFERROR(Table3[[#This Row],[Actual Order Book Apparel ]]/Table3[[#This Row],[Net Sales Invoiced Apparel]]-1,"")</f>
        <v>1.3759999999999999</v>
      </c>
    </row>
    <row r="8" spans="1:59" ht="15.6">
      <c r="A8" s="561" t="s">
        <v>29</v>
      </c>
      <c r="B8" s="561" t="s">
        <v>30</v>
      </c>
      <c r="C8" s="562" t="s">
        <v>31</v>
      </c>
      <c r="D8" s="169"/>
      <c r="E8" s="209">
        <v>171000</v>
      </c>
      <c r="F8" s="60">
        <v>0.10299999999999999</v>
      </c>
      <c r="G8" s="61">
        <v>0.39200000000000002</v>
      </c>
      <c r="H8" s="61">
        <v>0.02</v>
      </c>
      <c r="I8" s="210">
        <v>1.9E-2</v>
      </c>
      <c r="J8" s="209">
        <v>6500</v>
      </c>
      <c r="K8" s="251">
        <v>0.17399999999999999</v>
      </c>
      <c r="L8" s="61">
        <v>0.33300000000000002</v>
      </c>
      <c r="M8" s="61">
        <v>0</v>
      </c>
      <c r="N8" s="210">
        <v>0.10299999999999999</v>
      </c>
      <c r="O8" s="166"/>
      <c r="P8" s="216">
        <f t="shared" si="0"/>
        <v>132558.1395348837</v>
      </c>
      <c r="Q8" s="217">
        <f t="shared" si="1"/>
        <v>6155.30303030303</v>
      </c>
      <c r="R8" s="216">
        <f t="shared" si="2"/>
        <v>177500</v>
      </c>
      <c r="S8" s="217">
        <f>'SS24 Q2 Data'!$P8+Q8</f>
        <v>138713.44256518674</v>
      </c>
      <c r="T8" s="222">
        <f t="shared" si="3"/>
        <v>13653</v>
      </c>
      <c r="U8" s="68">
        <f t="shared" si="4"/>
        <v>51963</v>
      </c>
      <c r="V8" s="68">
        <f t="shared" si="5"/>
        <v>2651</v>
      </c>
      <c r="W8" s="217">
        <f t="shared" si="6"/>
        <v>2519</v>
      </c>
      <c r="X8" s="222">
        <f t="shared" si="7"/>
        <v>1071</v>
      </c>
      <c r="Y8" s="68">
        <f t="shared" si="8"/>
        <v>2050</v>
      </c>
      <c r="Z8" s="68">
        <f t="shared" si="9"/>
        <v>0</v>
      </c>
      <c r="AA8" s="68">
        <f t="shared" si="10"/>
        <v>0</v>
      </c>
      <c r="AB8" s="243">
        <f t="shared" si="11"/>
        <v>3.8011695906432746E-2</v>
      </c>
      <c r="AD8" s="300">
        <f>Table3[[#This Row],[Pre-Order Cancellations Mix Shoes]]+Table3[[#This Row],[Pre-Order Cancellations  Mix %Apparel]]</f>
        <v>14724</v>
      </c>
      <c r="AE8" s="303">
        <f>Table3[[#This Row],[Tot Cancellation]]/Table3[[#This Row],[Tot PreOrder  Invoiced (units)]]</f>
        <v>0.10614688618286314</v>
      </c>
      <c r="AF8" s="300">
        <f>Table3[[#This Row],[Re-Order Rate %7]]+Table3[[#This Row],[Re-Order Rate %11]]</f>
        <v>54013</v>
      </c>
      <c r="AG8" s="231">
        <f>Table3[[#This Row],[ToT Reorders]]/Table3[[#This Row],[Tot Net Sales Invoiced (units)]]</f>
        <v>0.30429859154929578</v>
      </c>
      <c r="AH8" s="300">
        <f>Table3[[#This Row],[Stock Clearance Rate %8]]+Table3[[#This Row],[Stock Clearance Rate %12]]</f>
        <v>2651</v>
      </c>
      <c r="AI8" s="231">
        <f>Table3[[#This Row],[ToT Stock Clearance]]/Table3[[#This Row],[Tot PreOrder  Invoiced (units)]]</f>
        <v>1.9111341705431283E-2</v>
      </c>
      <c r="AJ8" s="300">
        <f>Table3[[#This Row],[Returns Rate %13]]+Table3[[#This Row],[Returns Rate %9]]</f>
        <v>2519</v>
      </c>
      <c r="AK8" s="235">
        <f>Table3[[#This Row],[ToT Retruns]]/Table3[[#This Row],[Tot PreOrder  Invoiced (units)]]</f>
        <v>1.8159739628812295E-2</v>
      </c>
      <c r="AL8" s="335">
        <v>0.1</v>
      </c>
      <c r="AM8" s="320">
        <v>0.15</v>
      </c>
      <c r="AN8" s="320">
        <v>0.01</v>
      </c>
      <c r="AO8" s="336">
        <v>0.03</v>
      </c>
      <c r="AP8" s="339">
        <f t="shared" ref="AP8:AP15" si="12">$AQ$2</f>
        <v>0.25</v>
      </c>
      <c r="AQ8" s="280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0.68</v>
      </c>
      <c r="AR8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177627.90697674413</v>
      </c>
      <c r="AS8" s="267">
        <f>Table3[[#This Row],[Tommaso''s FC Q2 SS5 Net Sales FC Shoes]]/Table3[[#This Row],[Net Sales Invoiced Shoes]]-1</f>
        <v>3.8759689922480245E-2</v>
      </c>
      <c r="AT8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10894.886363636364</v>
      </c>
      <c r="AU8" s="315">
        <f>Table3[[#This Row],[Tommaso''s FC Q2 SS5 Net Sales FC Apparel]]/Table3[[#This Row],[Net Sales Invoiced Apparel]]-1</f>
        <v>0.67613636363636376</v>
      </c>
      <c r="AV8" s="316">
        <v>115000</v>
      </c>
      <c r="AW8" s="316">
        <v>20342</v>
      </c>
      <c r="AX8" s="317">
        <f>Table3[[#This Row],[Actual Order Book Shoes ]]/Table3[[#This Row],[Tommaso''s FC Q2 SS5 Net Sales FC Shoes]]-1</f>
        <v>-0.35257920921707231</v>
      </c>
      <c r="AY8" s="317">
        <f>Table3[[#This Row],[Actual Order Book Apparel ]]/Table3[[#This Row],[Tommaso''s FC Q2 SS5 Net Sales FC Apparel]]-1</f>
        <v>0.86711447196870917</v>
      </c>
      <c r="AZ8" s="318">
        <f>Table3[[#This Row],[Actual Order Book Shoes ]]/Table3[[#This Row],[Net Sales Invoiced Shoes]]-1</f>
        <v>-0.32748538011695905</v>
      </c>
      <c r="BA8" s="319">
        <f>IFERROR(Table3[[#This Row],[Actual Order Book Apparel ]]/Table3[[#This Row],[Net Sales Invoiced Apparel]]-1,"")</f>
        <v>2.1295384615384614</v>
      </c>
    </row>
    <row r="9" spans="1:59" ht="15.6">
      <c r="A9" s="560" t="s">
        <v>34</v>
      </c>
      <c r="B9" s="561" t="s">
        <v>40</v>
      </c>
      <c r="C9" s="562" t="s">
        <v>31</v>
      </c>
      <c r="D9" s="169"/>
      <c r="E9" s="209">
        <v>53300</v>
      </c>
      <c r="F9" s="60">
        <v>0.107</v>
      </c>
      <c r="G9" s="61">
        <v>0.189</v>
      </c>
      <c r="H9" s="61">
        <v>0</v>
      </c>
      <c r="I9" s="210">
        <v>9.4E-2</v>
      </c>
      <c r="J9" s="209">
        <v>6100</v>
      </c>
      <c r="K9" s="60">
        <v>8.1000000000000003E-2</v>
      </c>
      <c r="L9" s="61">
        <v>0.15</v>
      </c>
      <c r="M9" s="61">
        <v>0</v>
      </c>
      <c r="N9" s="210">
        <v>3.3000000000000002E-2</v>
      </c>
      <c r="O9" s="166"/>
      <c r="P9" s="216">
        <f t="shared" si="0"/>
        <v>53947.368421052626</v>
      </c>
      <c r="Q9" s="217">
        <f t="shared" si="1"/>
        <v>5888.0308880308876</v>
      </c>
      <c r="R9" s="216">
        <f t="shared" si="2"/>
        <v>59400</v>
      </c>
      <c r="S9" s="217">
        <f>'SS24 Q2 Data'!$P10+Q9</f>
        <v>35152.625277720043</v>
      </c>
      <c r="T9" s="222">
        <f t="shared" si="3"/>
        <v>5772</v>
      </c>
      <c r="U9" s="68">
        <f t="shared" si="4"/>
        <v>10196</v>
      </c>
      <c r="V9" s="68">
        <f t="shared" si="5"/>
        <v>0</v>
      </c>
      <c r="W9" s="217">
        <f t="shared" si="6"/>
        <v>5071</v>
      </c>
      <c r="X9" s="222">
        <f t="shared" si="7"/>
        <v>477</v>
      </c>
      <c r="Y9" s="68">
        <f t="shared" si="8"/>
        <v>883</v>
      </c>
      <c r="Z9" s="68">
        <f t="shared" si="9"/>
        <v>0</v>
      </c>
      <c r="AA9" s="68">
        <f t="shared" si="10"/>
        <v>0</v>
      </c>
      <c r="AB9" s="243">
        <f t="shared" si="11"/>
        <v>0.11444652908067542</v>
      </c>
      <c r="AD9" s="300">
        <f>Table3[[#This Row],[Pre-Order Cancellations Mix Shoes]]+Table3[[#This Row],[Pre-Order Cancellations  Mix %Apparel]]</f>
        <v>6249</v>
      </c>
      <c r="AE9" s="303">
        <f>Table3[[#This Row],[Tot Cancellation]]/Table3[[#This Row],[Tot PreOrder  Invoiced (units)]]</f>
        <v>0.17776766175016395</v>
      </c>
      <c r="AF9" s="300">
        <f>Table3[[#This Row],[Re-Order Rate %7]]+Table3[[#This Row],[Re-Order Rate %11]]</f>
        <v>11079</v>
      </c>
      <c r="AG9" s="231">
        <f>Table3[[#This Row],[ToT Reorders]]/Table3[[#This Row],[Tot Net Sales Invoiced (units)]]</f>
        <v>0.18651515151515152</v>
      </c>
      <c r="AH9" s="300">
        <f>Table3[[#This Row],[Stock Clearance Rate %8]]+Table3[[#This Row],[Stock Clearance Rate %12]]</f>
        <v>0</v>
      </c>
      <c r="AI9" s="231">
        <f>Table3[[#This Row],[ToT Stock Clearance]]/Table3[[#This Row],[Tot PreOrder  Invoiced (units)]]</f>
        <v>0</v>
      </c>
      <c r="AJ9" s="300">
        <f>Table3[[#This Row],[Returns Rate %13]]+Table3[[#This Row],[Returns Rate %9]]</f>
        <v>5071</v>
      </c>
      <c r="AK9" s="235">
        <f>Table3[[#This Row],[ToT Retruns]]/Table3[[#This Row],[Tot PreOrder  Invoiced (units)]]</f>
        <v>0.14425665110178931</v>
      </c>
      <c r="AL9" s="335">
        <v>0.1</v>
      </c>
      <c r="AM9" s="320">
        <v>0.15</v>
      </c>
      <c r="AN9" s="320">
        <v>0.01</v>
      </c>
      <c r="AO9" s="336">
        <v>0.03</v>
      </c>
      <c r="AP9" s="339">
        <f t="shared" si="12"/>
        <v>0.25</v>
      </c>
      <c r="AQ9" s="280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0.68</v>
      </c>
      <c r="AR9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72289.473684210505</v>
      </c>
      <c r="AS9" s="267">
        <f>Table3[[#This Row],[Tommaso''s FC Q2 SS5 Net Sales FC Shoes]]/Table3[[#This Row],[Net Sales Invoiced Shoes]]-1</f>
        <v>0.35627530364372428</v>
      </c>
      <c r="AT9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10421.814671814671</v>
      </c>
      <c r="AU9" s="315">
        <f>Table3[[#This Row],[Tommaso''s FC Q2 SS5 Net Sales FC Apparel]]/Table3[[#This Row],[Net Sales Invoiced Apparel]]-1</f>
        <v>0.7084942084942083</v>
      </c>
      <c r="AV9" s="316">
        <v>30700</v>
      </c>
      <c r="AW9" s="316">
        <v>1231</v>
      </c>
      <c r="AX9" s="317">
        <f>Table3[[#This Row],[Actual Order Book Shoes ]]/Table3[[#This Row],[Tommaso''s FC Q2 SS5 Net Sales FC Shoes]]-1</f>
        <v>-0.57531852930469585</v>
      </c>
      <c r="AY9" s="317">
        <f>Table3[[#This Row],[Actual Order Book Apparel ]]/Table3[[#This Row],[Tommaso''s FC Q2 SS5 Net Sales FC Apparel]]-1</f>
        <v>-0.88188237473372233</v>
      </c>
      <c r="AZ9" s="318">
        <f>Table3[[#This Row],[Actual Order Book Shoes ]]/Table3[[#This Row],[Net Sales Invoiced Shoes]]-1</f>
        <v>-0.42401500938086301</v>
      </c>
      <c r="BA9" s="319">
        <f>IFERROR(Table3[[#This Row],[Actual Order Book Apparel ]]/Table3[[#This Row],[Net Sales Invoiced Apparel]]-1,"")</f>
        <v>-0.79819672131147534</v>
      </c>
    </row>
    <row r="10" spans="1:59" ht="15.6">
      <c r="A10" s="561" t="s">
        <v>29</v>
      </c>
      <c r="B10" s="561" t="s">
        <v>33</v>
      </c>
      <c r="C10" s="562" t="s">
        <v>31</v>
      </c>
      <c r="D10" s="169"/>
      <c r="E10" s="209">
        <v>38600</v>
      </c>
      <c r="F10" s="60">
        <v>3.5000000000000003E-2</v>
      </c>
      <c r="G10" s="61">
        <v>0.36299999999999999</v>
      </c>
      <c r="H10" s="61">
        <v>4.0000000000000001E-3</v>
      </c>
      <c r="I10" s="210">
        <v>1.2999999999999999E-2</v>
      </c>
      <c r="J10" s="209">
        <v>3500</v>
      </c>
      <c r="K10" s="60">
        <v>5.8999999999999997E-2</v>
      </c>
      <c r="L10" s="61">
        <v>0.25900000000000001</v>
      </c>
      <c r="M10" s="61">
        <v>5.0999999999999997E-2</v>
      </c>
      <c r="N10" s="210">
        <v>2.9000000000000001E-2</v>
      </c>
      <c r="O10" s="166"/>
      <c r="P10" s="216">
        <f t="shared" si="0"/>
        <v>29264.594389689159</v>
      </c>
      <c r="Q10" s="217">
        <f t="shared" si="1"/>
        <v>2864.1571194762687</v>
      </c>
      <c r="R10" s="216">
        <f t="shared" si="2"/>
        <v>42100</v>
      </c>
      <c r="S10" s="217">
        <f>'SS24 Q2 Data'!$P11+Q10</f>
        <v>29099.250816239473</v>
      </c>
      <c r="T10" s="222">
        <f t="shared" si="3"/>
        <v>1024</v>
      </c>
      <c r="U10" s="68">
        <f t="shared" si="4"/>
        <v>10623</v>
      </c>
      <c r="V10" s="68">
        <f t="shared" si="5"/>
        <v>117</v>
      </c>
      <c r="W10" s="217">
        <f t="shared" si="6"/>
        <v>380</v>
      </c>
      <c r="X10" s="222">
        <f t="shared" si="7"/>
        <v>169</v>
      </c>
      <c r="Y10" s="68">
        <f t="shared" si="8"/>
        <v>742</v>
      </c>
      <c r="Z10" s="68">
        <f t="shared" si="9"/>
        <v>146</v>
      </c>
      <c r="AA10" s="68">
        <f t="shared" si="10"/>
        <v>146</v>
      </c>
      <c r="AB10" s="243">
        <f t="shared" si="11"/>
        <v>9.0673575129533682E-2</v>
      </c>
      <c r="AD10" s="300">
        <f>Table3[[#This Row],[Pre-Order Cancellations Mix Shoes]]+Table3[[#This Row],[Pre-Order Cancellations  Mix %Apparel]]</f>
        <v>1193</v>
      </c>
      <c r="AE10" s="303">
        <f>Table3[[#This Row],[Tot Cancellation]]/Table3[[#This Row],[Tot PreOrder  Invoiced (units)]]</f>
        <v>4.0997619063588411E-2</v>
      </c>
      <c r="AF10" s="300">
        <f>Table3[[#This Row],[Re-Order Rate %7]]+Table3[[#This Row],[Re-Order Rate %11]]</f>
        <v>11365</v>
      </c>
      <c r="AG10" s="231">
        <f>Table3[[#This Row],[ToT Reorders]]/Table3[[#This Row],[Tot Net Sales Invoiced (units)]]</f>
        <v>0.2699524940617577</v>
      </c>
      <c r="AH10" s="300">
        <f>Table3[[#This Row],[Stock Clearance Rate %8]]+Table3[[#This Row],[Stock Clearance Rate %12]]</f>
        <v>263</v>
      </c>
      <c r="AI10" s="231">
        <f>Table3[[#This Row],[ToT Stock Clearance]]/Table3[[#This Row],[Tot PreOrder  Invoiced (units)]]</f>
        <v>9.038033372777662E-3</v>
      </c>
      <c r="AJ10" s="300">
        <f>Table3[[#This Row],[Returns Rate %13]]+Table3[[#This Row],[Returns Rate %9]]</f>
        <v>526</v>
      </c>
      <c r="AK10" s="235">
        <f>Table3[[#This Row],[ToT Retruns]]/Table3[[#This Row],[Tot PreOrder  Invoiced (units)]]</f>
        <v>1.8076066745555324E-2</v>
      </c>
      <c r="AL10" s="335">
        <v>0.1</v>
      </c>
      <c r="AM10" s="320">
        <v>0.15</v>
      </c>
      <c r="AN10" s="320">
        <v>0.01</v>
      </c>
      <c r="AO10" s="336">
        <v>0.03</v>
      </c>
      <c r="AP10" s="339">
        <f t="shared" si="12"/>
        <v>0.25</v>
      </c>
      <c r="AQ10" s="280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0.68</v>
      </c>
      <c r="AR10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39214.556482183471</v>
      </c>
      <c r="AS10" s="267">
        <f>Table3[[#This Row],[Tommaso''s FC Q2 SS5 Net Sales FC Shoes]]/Table3[[#This Row],[Net Sales Invoiced Shoes]]-1</f>
        <v>1.5921152388172821E-2</v>
      </c>
      <c r="AT10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5069.558101472996</v>
      </c>
      <c r="AU10" s="315">
        <f>Table3[[#This Row],[Tommaso''s FC Q2 SS5 Net Sales FC Apparel]]/Table3[[#This Row],[Net Sales Invoiced Apparel]]-1</f>
        <v>0.44844517184942734</v>
      </c>
      <c r="AV10" s="316">
        <v>24900</v>
      </c>
      <c r="AW10" s="316">
        <v>2435</v>
      </c>
      <c r="AX10" s="317">
        <f>Table3[[#This Row],[Actual Order Book Shoes ]]/Table3[[#This Row],[Tommaso''s FC Q2 SS5 Net Sales FC Shoes]]-1</f>
        <v>-0.36503170675121799</v>
      </c>
      <c r="AY10" s="317">
        <f>Table3[[#This Row],[Actual Order Book Apparel ]]/Table3[[#This Row],[Tommaso''s FC Q2 SS5 Net Sales FC Apparel]]-1</f>
        <v>-0.51968200161420508</v>
      </c>
      <c r="AZ10" s="318">
        <f>Table3[[#This Row],[Actual Order Book Shoes ]]/Table3[[#This Row],[Net Sales Invoiced Shoes]]-1</f>
        <v>-0.35492227979274615</v>
      </c>
      <c r="BA10" s="319">
        <f>IFERROR(Table3[[#This Row],[Actual Order Book Apparel ]]/Table3[[#This Row],[Net Sales Invoiced Apparel]]-1,"")</f>
        <v>-0.30428571428571427</v>
      </c>
    </row>
    <row r="11" spans="1:59" ht="15.6">
      <c r="A11" s="560" t="s">
        <v>46</v>
      </c>
      <c r="B11" s="561" t="s">
        <v>47</v>
      </c>
      <c r="C11" s="562" t="s">
        <v>31</v>
      </c>
      <c r="D11" s="169"/>
      <c r="E11" s="209">
        <v>30800</v>
      </c>
      <c r="F11" s="60">
        <v>9.1999999999999998E-2</v>
      </c>
      <c r="G11" s="61">
        <v>0.308</v>
      </c>
      <c r="H11" s="61">
        <v>0</v>
      </c>
      <c r="I11" s="210">
        <v>4.2000000000000003E-2</v>
      </c>
      <c r="J11" s="209">
        <v>2500</v>
      </c>
      <c r="K11" s="60">
        <v>4.2000000000000003E-2</v>
      </c>
      <c r="L11" s="61">
        <v>0.61499999999999999</v>
      </c>
      <c r="M11" s="61">
        <v>0</v>
      </c>
      <c r="N11" s="210">
        <v>1.7000000000000001E-2</v>
      </c>
      <c r="O11" s="166"/>
      <c r="P11" s="216">
        <f t="shared" si="0"/>
        <v>26235.093696763204</v>
      </c>
      <c r="Q11" s="217">
        <f t="shared" si="1"/>
        <v>1606.6838046272494</v>
      </c>
      <c r="R11" s="216">
        <f t="shared" si="2"/>
        <v>33300</v>
      </c>
      <c r="S11" s="217">
        <f>'SS24 Q2 Data'!$P14+Q11</f>
        <v>5391.6951596613144</v>
      </c>
      <c r="T11" s="222">
        <f t="shared" si="3"/>
        <v>2414</v>
      </c>
      <c r="U11" s="68">
        <f t="shared" si="4"/>
        <v>8080</v>
      </c>
      <c r="V11" s="68">
        <f t="shared" si="5"/>
        <v>0</v>
      </c>
      <c r="W11" s="217">
        <f t="shared" si="6"/>
        <v>1102</v>
      </c>
      <c r="X11" s="222">
        <f t="shared" si="7"/>
        <v>67</v>
      </c>
      <c r="Y11" s="68">
        <f t="shared" si="8"/>
        <v>988</v>
      </c>
      <c r="Z11" s="68">
        <f t="shared" si="9"/>
        <v>0</v>
      </c>
      <c r="AA11" s="68">
        <f t="shared" si="10"/>
        <v>0</v>
      </c>
      <c r="AB11" s="243">
        <f t="shared" si="11"/>
        <v>8.1168831168831168E-2</v>
      </c>
      <c r="AD11" s="300">
        <f>Table3[[#This Row],[Pre-Order Cancellations Mix Shoes]]+Table3[[#This Row],[Pre-Order Cancellations  Mix %Apparel]]</f>
        <v>2481</v>
      </c>
      <c r="AE11" s="303">
        <f>Table3[[#This Row],[Tot Cancellation]]/Table3[[#This Row],[Tot PreOrder  Invoiced (units)]]</f>
        <v>0.46015212776900521</v>
      </c>
      <c r="AF11" s="300">
        <f>Table3[[#This Row],[Re-Order Rate %7]]+Table3[[#This Row],[Re-Order Rate %11]]</f>
        <v>9068</v>
      </c>
      <c r="AG11" s="231">
        <f>Table3[[#This Row],[ToT Reorders]]/Table3[[#This Row],[Tot Net Sales Invoiced (units)]]</f>
        <v>0.27231231231231229</v>
      </c>
      <c r="AH11" s="300">
        <f>Table3[[#This Row],[Stock Clearance Rate %8]]+Table3[[#This Row],[Stock Clearance Rate %12]]</f>
        <v>0</v>
      </c>
      <c r="AI11" s="231">
        <f>Table3[[#This Row],[ToT Stock Clearance]]/Table3[[#This Row],[Tot PreOrder  Invoiced (units)]]</f>
        <v>0</v>
      </c>
      <c r="AJ11" s="300">
        <f>Table3[[#This Row],[Returns Rate %13]]+Table3[[#This Row],[Returns Rate %9]]</f>
        <v>1102</v>
      </c>
      <c r="AK11" s="235">
        <f>Table3[[#This Row],[ToT Retruns]]/Table3[[#This Row],[Tot PreOrder  Invoiced (units)]]</f>
        <v>0.20438840983532597</v>
      </c>
      <c r="AL11" s="335">
        <v>0.1</v>
      </c>
      <c r="AM11" s="320">
        <v>0.15</v>
      </c>
      <c r="AN11" s="320">
        <v>0.01</v>
      </c>
      <c r="AO11" s="336">
        <v>0.03</v>
      </c>
      <c r="AP11" s="339">
        <f t="shared" si="12"/>
        <v>0.25</v>
      </c>
      <c r="AQ11" s="280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0.68</v>
      </c>
      <c r="AR11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35155.025553662686</v>
      </c>
      <c r="AS11" s="267">
        <f>Table3[[#This Row],[Tommaso''s FC Q2 SS5 Net Sales FC Shoes]]/Table3[[#This Row],[Net Sales Invoiced Shoes]]-1</f>
        <v>0.14139693356047678</v>
      </c>
      <c r="AT11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2843.8303341902315</v>
      </c>
      <c r="AU11" s="315">
        <f>Table3[[#This Row],[Tommaso''s FC Q2 SS5 Net Sales FC Apparel]]/Table3[[#This Row],[Net Sales Invoiced Apparel]]-1</f>
        <v>0.13753213367609263</v>
      </c>
      <c r="AV11" s="316">
        <v>20200</v>
      </c>
      <c r="AW11" s="316">
        <v>1675</v>
      </c>
      <c r="AX11" s="317">
        <f>Table3[[#This Row],[Actual Order Book Shoes ]]/Table3[[#This Row],[Tommaso''s FC Q2 SS5 Net Sales FC Shoes]]-1</f>
        <v>-0.42540220973056786</v>
      </c>
      <c r="AY11" s="317">
        <f>Table3[[#This Row],[Actual Order Book Apparel ]]/Table3[[#This Row],[Tommaso''s FC Q2 SS5 Net Sales FC Apparel]]-1</f>
        <v>-0.41100564971751419</v>
      </c>
      <c r="AZ11" s="318">
        <f>Table3[[#This Row],[Actual Order Book Shoes ]]/Table3[[#This Row],[Net Sales Invoiced Shoes]]-1</f>
        <v>-0.3441558441558441</v>
      </c>
      <c r="BA11" s="319">
        <f>IFERROR(Table3[[#This Row],[Actual Order Book Apparel ]]/Table3[[#This Row],[Net Sales Invoiced Apparel]]-1,"")</f>
        <v>-0.32999999999999996</v>
      </c>
    </row>
    <row r="12" spans="1:59" ht="15.6">
      <c r="A12" s="560" t="s">
        <v>34</v>
      </c>
      <c r="B12" s="561" t="s">
        <v>37</v>
      </c>
      <c r="C12" s="562" t="s">
        <v>31</v>
      </c>
      <c r="D12" s="169"/>
      <c r="E12" s="209">
        <v>22800</v>
      </c>
      <c r="F12" s="60">
        <v>0.13400000000000001</v>
      </c>
      <c r="G12" s="61">
        <v>0.45100000000000001</v>
      </c>
      <c r="H12" s="61">
        <v>0</v>
      </c>
      <c r="I12" s="210">
        <v>6.4000000000000001E-2</v>
      </c>
      <c r="J12" s="209">
        <v>3800</v>
      </c>
      <c r="K12" s="60">
        <v>0.105</v>
      </c>
      <c r="L12" s="61">
        <v>0.159</v>
      </c>
      <c r="M12" s="61">
        <v>0</v>
      </c>
      <c r="N12" s="210">
        <v>0.04</v>
      </c>
      <c r="O12" s="166"/>
      <c r="P12" s="216">
        <f t="shared" si="0"/>
        <v>18196.328810853953</v>
      </c>
      <c r="Q12" s="217">
        <f t="shared" si="1"/>
        <v>3747.5345167652858</v>
      </c>
      <c r="R12" s="216">
        <f t="shared" si="2"/>
        <v>26600</v>
      </c>
      <c r="S12" s="217">
        <f>'SS24 Q2 Data'!$P16+Q12</f>
        <v>93973.098426539727</v>
      </c>
      <c r="T12" s="222">
        <f t="shared" si="3"/>
        <v>2438</v>
      </c>
      <c r="U12" s="68">
        <f t="shared" si="4"/>
        <v>8207</v>
      </c>
      <c r="V12" s="68">
        <f t="shared" si="5"/>
        <v>0</v>
      </c>
      <c r="W12" s="217">
        <f t="shared" si="6"/>
        <v>1165</v>
      </c>
      <c r="X12" s="222">
        <f t="shared" si="7"/>
        <v>393</v>
      </c>
      <c r="Y12" s="68">
        <f t="shared" si="8"/>
        <v>596</v>
      </c>
      <c r="Z12" s="68">
        <f t="shared" si="9"/>
        <v>0</v>
      </c>
      <c r="AA12" s="68">
        <f t="shared" si="10"/>
        <v>0</v>
      </c>
      <c r="AB12" s="243">
        <f t="shared" si="11"/>
        <v>0.16666666666666666</v>
      </c>
      <c r="AD12" s="300">
        <f>Table3[[#This Row],[Pre-Order Cancellations Mix Shoes]]+Table3[[#This Row],[Pre-Order Cancellations  Mix %Apparel]]</f>
        <v>2831</v>
      </c>
      <c r="AE12" s="303">
        <f>Table3[[#This Row],[Tot Cancellation]]/Table3[[#This Row],[Tot PreOrder  Invoiced (units)]]</f>
        <v>3.0125642842488989E-2</v>
      </c>
      <c r="AF12" s="300">
        <f>Table3[[#This Row],[Re-Order Rate %7]]+Table3[[#This Row],[Re-Order Rate %11]]</f>
        <v>8803</v>
      </c>
      <c r="AG12" s="231">
        <f>Table3[[#This Row],[ToT Reorders]]/Table3[[#This Row],[Tot Net Sales Invoiced (units)]]</f>
        <v>0.33093984962406015</v>
      </c>
      <c r="AH12" s="300">
        <f>Table3[[#This Row],[Stock Clearance Rate %8]]+Table3[[#This Row],[Stock Clearance Rate %12]]</f>
        <v>0</v>
      </c>
      <c r="AI12" s="231">
        <f>Table3[[#This Row],[ToT Stock Clearance]]/Table3[[#This Row],[Tot PreOrder  Invoiced (units)]]</f>
        <v>0</v>
      </c>
      <c r="AJ12" s="300">
        <f>Table3[[#This Row],[Returns Rate %13]]+Table3[[#This Row],[Returns Rate %9]]</f>
        <v>1165</v>
      </c>
      <c r="AK12" s="235">
        <f>Table3[[#This Row],[ToT Retruns]]/Table3[[#This Row],[Tot PreOrder  Invoiced (units)]]</f>
        <v>1.2397164928117158E-2</v>
      </c>
      <c r="AL12" s="335">
        <v>0.1</v>
      </c>
      <c r="AM12" s="320">
        <v>0.15</v>
      </c>
      <c r="AN12" s="320">
        <v>0.01</v>
      </c>
      <c r="AO12" s="336">
        <v>0.03</v>
      </c>
      <c r="AP12" s="339">
        <f t="shared" si="12"/>
        <v>0.25</v>
      </c>
      <c r="AQ12" s="280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0.68</v>
      </c>
      <c r="AR12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24383.080606544296</v>
      </c>
      <c r="AS12" s="267">
        <f>Table3[[#This Row],[Tommaso''s FC Q2 SS5 Net Sales FC Shoes]]/Table3[[#This Row],[Net Sales Invoiced Shoes]]-1</f>
        <v>6.9433359936153405E-2</v>
      </c>
      <c r="AT12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6633.1360946745563</v>
      </c>
      <c r="AU12" s="315">
        <f>Table3[[#This Row],[Tommaso''s FC Q2 SS5 Net Sales FC Apparel]]/Table3[[#This Row],[Net Sales Invoiced Apparel]]-1</f>
        <v>0.74556213017751483</v>
      </c>
      <c r="AV12" s="316">
        <v>21000</v>
      </c>
      <c r="AW12" s="316">
        <v>1238</v>
      </c>
      <c r="AX12" s="317">
        <f>Table3[[#This Row],[Actual Order Book Shoes ]]/Table3[[#This Row],[Tommaso''s FC Q2 SS5 Net Sales FC Shoes]]-1</f>
        <v>-0.13874705420267097</v>
      </c>
      <c r="AY12" s="317">
        <f>Table3[[#This Row],[Actual Order Book Apparel ]]/Table3[[#This Row],[Tommaso''s FC Q2 SS5 Net Sales FC Apparel]]-1</f>
        <v>-0.81336128456735057</v>
      </c>
      <c r="AZ12" s="318">
        <f>Table3[[#This Row],[Actual Order Book Shoes ]]/Table3[[#This Row],[Net Sales Invoiced Shoes]]-1</f>
        <v>-7.8947368421052655E-2</v>
      </c>
      <c r="BA12" s="319">
        <f>IFERROR(Table3[[#This Row],[Actual Order Book Apparel ]]/Table3[[#This Row],[Net Sales Invoiced Apparel]]-1,"")</f>
        <v>-0.67421052631578948</v>
      </c>
    </row>
    <row r="13" spans="1:59" ht="15.6">
      <c r="A13" s="561" t="s">
        <v>29</v>
      </c>
      <c r="B13" s="561" t="s">
        <v>32</v>
      </c>
      <c r="C13" s="562" t="s">
        <v>31</v>
      </c>
      <c r="D13" s="169"/>
      <c r="E13" s="209">
        <v>9000</v>
      </c>
      <c r="F13" s="60">
        <v>0.13800000000000001</v>
      </c>
      <c r="G13" s="61">
        <v>0.68899999999999995</v>
      </c>
      <c r="H13" s="61">
        <v>0</v>
      </c>
      <c r="I13" s="277">
        <v>0.11799999999999999</v>
      </c>
      <c r="J13" s="209">
        <v>3600</v>
      </c>
      <c r="K13" s="60">
        <v>7.0999999999999994E-2</v>
      </c>
      <c r="L13" s="252">
        <v>0.96299999999999997</v>
      </c>
      <c r="M13" s="61">
        <v>0</v>
      </c>
      <c r="N13" s="210">
        <v>0.111</v>
      </c>
      <c r="O13" s="166"/>
      <c r="P13" s="216">
        <f t="shared" si="0"/>
        <v>6280.5303558967207</v>
      </c>
      <c r="Q13" s="217">
        <f t="shared" si="1"/>
        <v>2021.3363279056707</v>
      </c>
      <c r="R13" s="216">
        <f t="shared" si="2"/>
        <v>12600</v>
      </c>
      <c r="S13" s="217">
        <f>'SS24 Q2 Data'!$P19+Q13</f>
        <v>8814.5431211124651</v>
      </c>
      <c r="T13" s="222">
        <f t="shared" si="3"/>
        <v>867</v>
      </c>
      <c r="U13" s="68">
        <f t="shared" si="4"/>
        <v>4327</v>
      </c>
      <c r="V13" s="68">
        <f t="shared" si="5"/>
        <v>0</v>
      </c>
      <c r="W13" s="217">
        <f t="shared" si="6"/>
        <v>741</v>
      </c>
      <c r="X13" s="222">
        <f t="shared" si="7"/>
        <v>144</v>
      </c>
      <c r="Y13" s="68">
        <f t="shared" si="8"/>
        <v>1947</v>
      </c>
      <c r="Z13" s="68">
        <f t="shared" si="9"/>
        <v>0</v>
      </c>
      <c r="AA13" s="68">
        <f t="shared" si="10"/>
        <v>0</v>
      </c>
      <c r="AB13" s="243">
        <f t="shared" si="11"/>
        <v>0.4</v>
      </c>
      <c r="AD13" s="300">
        <f>Table3[[#This Row],[Pre-Order Cancellations Mix Shoes]]+Table3[[#This Row],[Pre-Order Cancellations  Mix %Apparel]]</f>
        <v>1011</v>
      </c>
      <c r="AE13" s="303">
        <f>Table3[[#This Row],[Tot Cancellation]]/Table3[[#This Row],[Tot PreOrder  Invoiced (units)]]</f>
        <v>0.11469681254136332</v>
      </c>
      <c r="AF13" s="300">
        <f>Table3[[#This Row],[Re-Order Rate %7]]+Table3[[#This Row],[Re-Order Rate %11]]</f>
        <v>6274</v>
      </c>
      <c r="AG13" s="231">
        <f>Table3[[#This Row],[ToT Reorders]]/Table3[[#This Row],[Tot Net Sales Invoiced (units)]]</f>
        <v>0.49793650793650795</v>
      </c>
      <c r="AH13" s="300">
        <f>Table3[[#This Row],[Stock Clearance Rate %8]]+Table3[[#This Row],[Stock Clearance Rate %12]]</f>
        <v>0</v>
      </c>
      <c r="AI13" s="231">
        <f>Table3[[#This Row],[ToT Stock Clearance]]/Table3[[#This Row],[Tot PreOrder  Invoiced (units)]]</f>
        <v>0</v>
      </c>
      <c r="AJ13" s="300">
        <f>Table3[[#This Row],[Returns Rate %13]]+Table3[[#This Row],[Returns Rate %9]]</f>
        <v>741</v>
      </c>
      <c r="AK13" s="235">
        <f>Table3[[#This Row],[ToT Retruns]]/Table3[[#This Row],[Tot PreOrder  Invoiced (units)]]</f>
        <v>8.4065616313699534E-2</v>
      </c>
      <c r="AL13" s="335">
        <v>0.1</v>
      </c>
      <c r="AM13" s="320">
        <v>0.15</v>
      </c>
      <c r="AN13" s="320">
        <v>0.01</v>
      </c>
      <c r="AO13" s="336">
        <v>0.03</v>
      </c>
      <c r="AP13" s="339">
        <f t="shared" si="12"/>
        <v>0.25</v>
      </c>
      <c r="AQ13" s="288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0.78100000000000003</v>
      </c>
      <c r="AR13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8415.9106769016053</v>
      </c>
      <c r="AS13" s="267">
        <f>Table3[[#This Row],[Tommaso''s FC Q2 SS5 Net Sales FC Shoes]]/Table3[[#This Row],[Net Sales Invoiced Shoes]]-1</f>
        <v>-6.4898813677599421E-2</v>
      </c>
      <c r="AT13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3781.92026951151</v>
      </c>
      <c r="AU13" s="315">
        <f>Table3[[#This Row],[Tommaso''s FC Q2 SS5 Net Sales FC Apparel]]/Table3[[#This Row],[Net Sales Invoiced Apparel]]-1</f>
        <v>5.0533408197641627E-2</v>
      </c>
      <c r="AV13" s="316">
        <v>8700</v>
      </c>
      <c r="AW13" s="316">
        <v>30324</v>
      </c>
      <c r="AX13" s="317">
        <f>Table3[[#This Row],[Actual Order Book Shoes ]]/Table3[[#This Row],[Tommaso''s FC Q2 SS5 Net Sales FC Shoes]]-1</f>
        <v>3.3756218905472535E-2</v>
      </c>
      <c r="AY13" s="317">
        <f>Table3[[#This Row],[Actual Order Book Apparel ]]/Table3[[#This Row],[Tommaso''s FC Q2 SS5 Net Sales FC Apparel]]-1</f>
        <v>7.0181489399608061</v>
      </c>
      <c r="AZ13" s="318">
        <f>Table3[[#This Row],[Actual Order Book Shoes ]]/Table3[[#This Row],[Net Sales Invoiced Shoes]]-1</f>
        <v>-3.3333333333333326E-2</v>
      </c>
      <c r="BA13" s="319">
        <f>IFERROR(Table3[[#This Row],[Actual Order Book Apparel ]]/Table3[[#This Row],[Net Sales Invoiced Apparel]]-1,"")</f>
        <v>7.4233333333333338</v>
      </c>
    </row>
    <row r="14" spans="1:59" ht="15.6">
      <c r="A14" s="560" t="s">
        <v>34</v>
      </c>
      <c r="B14" s="561" t="s">
        <v>43</v>
      </c>
      <c r="C14" s="562" t="s">
        <v>31</v>
      </c>
      <c r="D14" s="169"/>
      <c r="E14" s="209">
        <v>5000</v>
      </c>
      <c r="F14" s="60">
        <v>0.13</v>
      </c>
      <c r="G14" s="61">
        <v>0.45300000000000001</v>
      </c>
      <c r="H14" s="61">
        <v>0</v>
      </c>
      <c r="I14" s="210">
        <v>2E-3</v>
      </c>
      <c r="J14" s="209">
        <v>400</v>
      </c>
      <c r="K14" s="60">
        <v>0.09</v>
      </c>
      <c r="L14" s="61">
        <v>0.106</v>
      </c>
      <c r="M14" s="61">
        <v>0</v>
      </c>
      <c r="N14" s="210">
        <v>0</v>
      </c>
      <c r="O14" s="166"/>
      <c r="P14" s="216">
        <f t="shared" si="0"/>
        <v>3785.0113550340652</v>
      </c>
      <c r="Q14" s="217">
        <f t="shared" si="1"/>
        <v>393.70078740157481</v>
      </c>
      <c r="R14" s="216">
        <f t="shared" si="2"/>
        <v>5400</v>
      </c>
      <c r="S14" s="217">
        <f>'SS24 Q2 Data'!$P22+Q14</f>
        <v>1036.7876041218321</v>
      </c>
      <c r="T14" s="222">
        <f t="shared" si="3"/>
        <v>492</v>
      </c>
      <c r="U14" s="68">
        <f t="shared" si="4"/>
        <v>1715</v>
      </c>
      <c r="V14" s="68">
        <f t="shared" si="5"/>
        <v>0</v>
      </c>
      <c r="W14" s="217">
        <f t="shared" si="6"/>
        <v>8</v>
      </c>
      <c r="X14" s="222">
        <f t="shared" si="7"/>
        <v>35</v>
      </c>
      <c r="Y14" s="68">
        <f t="shared" si="8"/>
        <v>42</v>
      </c>
      <c r="Z14" s="68">
        <f t="shared" si="9"/>
        <v>0</v>
      </c>
      <c r="AA14" s="68">
        <f t="shared" si="10"/>
        <v>0</v>
      </c>
      <c r="AB14" s="243">
        <f t="shared" si="11"/>
        <v>0.08</v>
      </c>
      <c r="AD14" s="300">
        <f>Table3[[#This Row],[Pre-Order Cancellations Mix Shoes]]+Table3[[#This Row],[Pre-Order Cancellations  Mix %Apparel]]</f>
        <v>527</v>
      </c>
      <c r="AE14" s="303">
        <f>Table3[[#This Row],[Tot Cancellation]]/Table3[[#This Row],[Tot PreOrder  Invoiced (units)]]</f>
        <v>0.50830083028083017</v>
      </c>
      <c r="AF14" s="300">
        <f>Table3[[#This Row],[Re-Order Rate %7]]+Table3[[#This Row],[Re-Order Rate %11]]</f>
        <v>1757</v>
      </c>
      <c r="AG14" s="231">
        <f>Table3[[#This Row],[ToT Reorders]]/Table3[[#This Row],[Tot Net Sales Invoiced (units)]]</f>
        <v>0.32537037037037037</v>
      </c>
      <c r="AH14" s="300">
        <f>Table3[[#This Row],[Stock Clearance Rate %8]]+Table3[[#This Row],[Stock Clearance Rate %12]]</f>
        <v>0</v>
      </c>
      <c r="AI14" s="231">
        <f>Table3[[#This Row],[ToT Stock Clearance]]/Table3[[#This Row],[Tot PreOrder  Invoiced (units)]]</f>
        <v>0</v>
      </c>
      <c r="AJ14" s="300">
        <f>Table3[[#This Row],[Returns Rate %13]]+Table3[[#This Row],[Returns Rate %9]]</f>
        <v>8</v>
      </c>
      <c r="AK14" s="235">
        <f>Table3[[#This Row],[ToT Retruns]]/Table3[[#This Row],[Tot PreOrder  Invoiced (units)]]</f>
        <v>7.7161416361416352E-3</v>
      </c>
      <c r="AL14" s="335">
        <v>0.1</v>
      </c>
      <c r="AM14" s="320">
        <v>0.15</v>
      </c>
      <c r="AN14" s="320">
        <v>0.01</v>
      </c>
      <c r="AO14" s="336">
        <v>0.03</v>
      </c>
      <c r="AP14" s="339">
        <f t="shared" si="12"/>
        <v>0.25</v>
      </c>
      <c r="AQ14" s="280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0.68</v>
      </c>
      <c r="AR14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5071.9152157456465</v>
      </c>
      <c r="AS14" s="267">
        <f>Table3[[#This Row],[Tommaso''s FC Q2 SS5 Net Sales FC Shoes]]/Table3[[#This Row],[Net Sales Invoiced Shoes]]-1</f>
        <v>1.4383043149129193E-2</v>
      </c>
      <c r="AT14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696.85039370078744</v>
      </c>
      <c r="AU14" s="315">
        <f>Table3[[#This Row],[Tommaso''s FC Q2 SS5 Net Sales FC Apparel]]/Table3[[#This Row],[Net Sales Invoiced Apparel]]-1</f>
        <v>0.74212598425196852</v>
      </c>
      <c r="AV14" s="316">
        <v>2200</v>
      </c>
      <c r="AW14" s="316">
        <v>2345</v>
      </c>
      <c r="AX14" s="317">
        <f>Table3[[#This Row],[Actual Order Book Shoes ]]/Table3[[#This Row],[Tommaso''s FC Q2 SS5 Net Sales FC Shoes]]-1</f>
        <v>-0.56623880597014919</v>
      </c>
      <c r="AY14" s="317">
        <f>Table3[[#This Row],[Actual Order Book Apparel ]]/Table3[[#This Row],[Tommaso''s FC Q2 SS5 Net Sales FC Apparel]]-1</f>
        <v>2.3651412429378529</v>
      </c>
      <c r="AZ14" s="318">
        <f>Table3[[#This Row],[Actual Order Book Shoes ]]/Table3[[#This Row],[Net Sales Invoiced Shoes]]-1</f>
        <v>-0.56000000000000005</v>
      </c>
      <c r="BA14" s="319">
        <f>IFERROR(Table3[[#This Row],[Actual Order Book Apparel ]]/Table3[[#This Row],[Net Sales Invoiced Apparel]]-1,"")</f>
        <v>4.8624999999999998</v>
      </c>
    </row>
    <row r="15" spans="1:59" ht="15.6">
      <c r="A15" s="560" t="s">
        <v>46</v>
      </c>
      <c r="B15" s="561" t="s">
        <v>49</v>
      </c>
      <c r="C15" s="563" t="s">
        <v>31</v>
      </c>
      <c r="D15" s="169"/>
      <c r="E15" s="209">
        <v>3000</v>
      </c>
      <c r="F15" s="60">
        <v>0.122</v>
      </c>
      <c r="G15" s="278">
        <v>1.8919999999999999</v>
      </c>
      <c r="H15" s="61">
        <v>0</v>
      </c>
      <c r="I15" s="276">
        <v>1</v>
      </c>
      <c r="J15" s="209">
        <v>0</v>
      </c>
      <c r="K15" s="251">
        <v>1</v>
      </c>
      <c r="L15" s="65">
        <v>0</v>
      </c>
      <c r="M15" s="65">
        <v>0</v>
      </c>
      <c r="N15" s="210">
        <v>0</v>
      </c>
      <c r="O15" s="166"/>
      <c r="P15" s="216">
        <f t="shared" si="0"/>
        <v>1694.9152542372881</v>
      </c>
      <c r="Q15" s="217">
        <f t="shared" si="1"/>
        <v>0</v>
      </c>
      <c r="R15" s="216">
        <f t="shared" si="2"/>
        <v>3000</v>
      </c>
      <c r="S15" s="217">
        <f>'SS24 Q2 Data'!$P23+Q15</f>
        <v>417.05282669138091</v>
      </c>
      <c r="T15" s="222">
        <f t="shared" si="3"/>
        <v>207</v>
      </c>
      <c r="U15" s="68">
        <f t="shared" si="4"/>
        <v>3207</v>
      </c>
      <c r="V15" s="68">
        <f t="shared" si="5"/>
        <v>0</v>
      </c>
      <c r="W15" s="217">
        <f t="shared" si="6"/>
        <v>1695</v>
      </c>
      <c r="X15" s="222">
        <f t="shared" si="7"/>
        <v>0</v>
      </c>
      <c r="Y15" s="68">
        <f t="shared" si="8"/>
        <v>0</v>
      </c>
      <c r="Z15" s="68">
        <f t="shared" si="9"/>
        <v>0</v>
      </c>
      <c r="AA15" s="68">
        <f t="shared" si="10"/>
        <v>0</v>
      </c>
      <c r="AB15" s="243">
        <f t="shared" si="11"/>
        <v>0</v>
      </c>
      <c r="AD15" s="300">
        <f>Table3[[#This Row],[Pre-Order Cancellations Mix Shoes]]+Table3[[#This Row],[Pre-Order Cancellations  Mix %Apparel]]</f>
        <v>207</v>
      </c>
      <c r="AE15" s="303">
        <f>Table3[[#This Row],[Tot Cancellation]]/Table3[[#This Row],[Tot PreOrder  Invoiced (units)]]</f>
        <v>0.49634</v>
      </c>
      <c r="AF15" s="300">
        <f>Table3[[#This Row],[Re-Order Rate %7]]+Table3[[#This Row],[Re-Order Rate %11]]</f>
        <v>3207</v>
      </c>
      <c r="AG15" s="231">
        <f>Table3[[#This Row],[ToT Reorders]]/Table3[[#This Row],[Tot Net Sales Invoiced (units)]]</f>
        <v>1.069</v>
      </c>
      <c r="AH15" s="300">
        <f>Table3[[#This Row],[Stock Clearance Rate %8]]+Table3[[#This Row],[Stock Clearance Rate %12]]</f>
        <v>0</v>
      </c>
      <c r="AI15" s="231">
        <f>Table3[[#This Row],[ToT Stock Clearance]]/Table3[[#This Row],[Tot PreOrder  Invoiced (units)]]</f>
        <v>0</v>
      </c>
      <c r="AJ15" s="300">
        <f>Table3[[#This Row],[Returns Rate %13]]+Table3[[#This Row],[Returns Rate %9]]</f>
        <v>1695</v>
      </c>
      <c r="AK15" s="235">
        <f>Table3[[#This Row],[ToT Retruns]]/Table3[[#This Row],[Tot PreOrder  Invoiced (units)]]</f>
        <v>4.0642333333333331</v>
      </c>
      <c r="AL15" s="335">
        <v>0.1</v>
      </c>
      <c r="AM15" s="320">
        <v>0.15</v>
      </c>
      <c r="AN15" s="320">
        <v>0.01</v>
      </c>
      <c r="AO15" s="336">
        <v>0.03</v>
      </c>
      <c r="AP15" s="339">
        <f t="shared" si="12"/>
        <v>0.25</v>
      </c>
      <c r="AQ15" s="288" t="s">
        <v>244</v>
      </c>
      <c r="AR15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2271.1864406779659</v>
      </c>
      <c r="AS15" s="267">
        <f>Table3[[#This Row],[Tommaso''s FC Q2 SS5 Net Sales FC Shoes]]/Table3[[#This Row],[Net Sales Invoiced Shoes]]-1</f>
        <v>-0.24293785310734473</v>
      </c>
      <c r="AT15" s="322">
        <v>500</v>
      </c>
      <c r="AU15" s="323" t="s">
        <v>244</v>
      </c>
      <c r="AV15" s="316">
        <v>3300</v>
      </c>
      <c r="AW15" s="316">
        <v>345</v>
      </c>
      <c r="AX15" s="317">
        <f>Table3[[#This Row],[Actual Order Book Shoes ]]/Table3[[#This Row],[Tommaso''s FC Q2 SS5 Net Sales FC Shoes]]-1</f>
        <v>0.45298507462686577</v>
      </c>
      <c r="AY15" s="317">
        <f>Table3[[#This Row],[Actual Order Book Apparel ]]/Table3[[#This Row],[Tommaso''s FC Q2 SS5 Net Sales FC Apparel]]-1</f>
        <v>-0.31000000000000005</v>
      </c>
      <c r="AZ15" s="318">
        <f>Table3[[#This Row],[Actual Order Book Shoes ]]/Table3[[#This Row],[Net Sales Invoiced Shoes]]-1</f>
        <v>0.10000000000000009</v>
      </c>
      <c r="BA15" s="319" t="str">
        <f>IFERROR(Table3[[#This Row],[Actual Order Book Apparel ]]/Table3[[#This Row],[Net Sales Invoiced Apparel]]-1,"")</f>
        <v/>
      </c>
    </row>
    <row r="16" spans="1:59" ht="15.6">
      <c r="A16" s="9" t="s">
        <v>34</v>
      </c>
      <c r="B16" s="8" t="s">
        <v>40</v>
      </c>
      <c r="C16" s="22" t="s">
        <v>42</v>
      </c>
      <c r="D16" s="22" t="s">
        <v>261</v>
      </c>
      <c r="E16" s="209">
        <v>36000</v>
      </c>
      <c r="F16" s="251">
        <v>0.55300000000000005</v>
      </c>
      <c r="G16" s="61">
        <v>0</v>
      </c>
      <c r="H16" s="61">
        <v>0</v>
      </c>
      <c r="I16" s="210">
        <v>4.8000000000000001E-2</v>
      </c>
      <c r="J16" s="209">
        <v>2700</v>
      </c>
      <c r="K16" s="251">
        <v>0.65500000000000003</v>
      </c>
      <c r="L16" s="61">
        <v>0</v>
      </c>
      <c r="M16" s="61">
        <v>0</v>
      </c>
      <c r="N16" s="210">
        <v>9.6000000000000002E-2</v>
      </c>
      <c r="O16" s="166"/>
      <c r="P16" s="216">
        <f t="shared" si="0"/>
        <v>90225.563909774442</v>
      </c>
      <c r="Q16" s="217">
        <f t="shared" si="1"/>
        <v>10843.373493975903</v>
      </c>
      <c r="R16" s="216">
        <f t="shared" si="2"/>
        <v>38700</v>
      </c>
      <c r="S16" s="217">
        <f>'SS24 Q2 Data'!$P12+Q16</f>
        <v>29039.702304829858</v>
      </c>
      <c r="T16" s="222">
        <f t="shared" si="3"/>
        <v>49895</v>
      </c>
      <c r="U16" s="68">
        <f t="shared" si="4"/>
        <v>0</v>
      </c>
      <c r="V16" s="68">
        <f t="shared" si="5"/>
        <v>0</v>
      </c>
      <c r="W16" s="217">
        <f t="shared" si="6"/>
        <v>4331</v>
      </c>
      <c r="X16" s="222">
        <f t="shared" si="7"/>
        <v>7102</v>
      </c>
      <c r="Y16" s="68">
        <f t="shared" si="8"/>
        <v>0</v>
      </c>
      <c r="Z16" s="68">
        <f t="shared" si="9"/>
        <v>0</v>
      </c>
      <c r="AA16" s="68">
        <f t="shared" si="10"/>
        <v>0</v>
      </c>
      <c r="AB16" s="243">
        <f t="shared" si="11"/>
        <v>7.4999999999999997E-2</v>
      </c>
      <c r="AD16" s="300">
        <f>Table3[[#This Row],[Pre-Order Cancellations Mix Shoes]]+Table3[[#This Row],[Pre-Order Cancellations  Mix %Apparel]]</f>
        <v>56997</v>
      </c>
      <c r="AE16" s="303">
        <f>Table3[[#This Row],[Tot Cancellation]]/Table3[[#This Row],[Tot PreOrder  Invoiced (units)]]</f>
        <v>1.9627267318962947</v>
      </c>
      <c r="AF16" s="300">
        <f>Table3[[#This Row],[Re-Order Rate %7]]+Table3[[#This Row],[Re-Order Rate %11]]</f>
        <v>0</v>
      </c>
      <c r="AG16" s="231">
        <f>Table3[[#This Row],[ToT Reorders]]/Table3[[#This Row],[Tot Net Sales Invoiced (units)]]</f>
        <v>0</v>
      </c>
      <c r="AH16" s="300">
        <f>Table3[[#This Row],[Stock Clearance Rate %8]]+Table3[[#This Row],[Stock Clearance Rate %12]]</f>
        <v>0</v>
      </c>
      <c r="AI16" s="231">
        <f>Table3[[#This Row],[ToT Stock Clearance]]/Table3[[#This Row],[Tot PreOrder  Invoiced (units)]]</f>
        <v>0</v>
      </c>
      <c r="AJ16" s="300">
        <f>Table3[[#This Row],[Returns Rate %13]]+Table3[[#This Row],[Returns Rate %9]]</f>
        <v>4331</v>
      </c>
      <c r="AK16" s="235">
        <f>Table3[[#This Row],[ToT Retruns]]/Table3[[#This Row],[Tot PreOrder  Invoiced (units)]]</f>
        <v>0.14914064732955862</v>
      </c>
      <c r="AL16" s="335">
        <v>0.06</v>
      </c>
      <c r="AM16" s="320">
        <v>0.15</v>
      </c>
      <c r="AN16" s="320">
        <v>0.01</v>
      </c>
      <c r="AO16" s="336">
        <v>0.03</v>
      </c>
      <c r="AP16" s="340">
        <v>0.1</v>
      </c>
      <c r="AQ16" s="288">
        <v>0.1</v>
      </c>
      <c r="AR16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110977.44360902256</v>
      </c>
      <c r="AS16" s="267">
        <f>Table3[[#This Row],[Tommaso''s FC Q2 SS5 Net Sales FC Shoes]]/Table3[[#This Row],[Net Sales Invoiced Shoes]]-1</f>
        <v>2.0827067669172936</v>
      </c>
      <c r="AT16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13337.34939759036</v>
      </c>
      <c r="AU16" s="315">
        <f>Table3[[#This Row],[Tommaso''s FC Q2 SS5 Net Sales FC Apparel]]/Table3[[#This Row],[Net Sales Invoiced Apparel]]-1</f>
        <v>3.9397590361445776</v>
      </c>
      <c r="AV16" s="316">
        <v>24800</v>
      </c>
      <c r="AW16" s="316">
        <v>2345</v>
      </c>
      <c r="AX16" s="317">
        <f>Table3[[#This Row],[Actual Order Book Shoes ]]/Table3[[#This Row],[Tommaso''s FC Q2 SS5 Net Sales FC Shoes]]-1</f>
        <v>-0.77653116531165312</v>
      </c>
      <c r="AY16" s="317">
        <f>Table3[[#This Row],[Actual Order Book Apparel ]]/Table3[[#This Row],[Tommaso''s FC Q2 SS5 Net Sales FC Apparel]]-1</f>
        <v>-0.82417795844625108</v>
      </c>
      <c r="AZ16" s="318">
        <f>Table3[[#This Row],[Actual Order Book Shoes ]]/Table3[[#This Row],[Net Sales Invoiced Shoes]]-1</f>
        <v>-0.31111111111111112</v>
      </c>
      <c r="BA16" s="319">
        <f>IFERROR(Table3[[#This Row],[Actual Order Book Apparel ]]/Table3[[#This Row],[Net Sales Invoiced Apparel]]-1,"")</f>
        <v>-0.13148148148148153</v>
      </c>
    </row>
    <row r="17" spans="1:53" ht="15.6">
      <c r="A17" s="8" t="s">
        <v>50</v>
      </c>
      <c r="B17" s="8" t="s">
        <v>50</v>
      </c>
      <c r="C17" s="286" t="s">
        <v>54</v>
      </c>
      <c r="D17" s="22" t="s">
        <v>258</v>
      </c>
      <c r="E17" s="209">
        <v>213400</v>
      </c>
      <c r="F17" s="60">
        <v>6.0999999999999999E-2</v>
      </c>
      <c r="G17" s="61">
        <v>0</v>
      </c>
      <c r="H17" s="61">
        <v>0</v>
      </c>
      <c r="I17" s="210">
        <v>1.0999999999999999E-2</v>
      </c>
      <c r="J17" s="209">
        <v>24300</v>
      </c>
      <c r="K17" s="60">
        <v>7.2999999999999995E-2</v>
      </c>
      <c r="L17" s="61">
        <v>3.9E-2</v>
      </c>
      <c r="M17" s="61">
        <v>0</v>
      </c>
      <c r="N17" s="210">
        <v>2.1999999999999999E-2</v>
      </c>
      <c r="O17" s="166"/>
      <c r="P17" s="216">
        <f t="shared" si="0"/>
        <v>229956.89655172412</v>
      </c>
      <c r="Q17" s="217">
        <f t="shared" si="1"/>
        <v>25741.525423728814</v>
      </c>
      <c r="R17" s="216">
        <f t="shared" si="2"/>
        <v>237700</v>
      </c>
      <c r="S17" s="217">
        <f>'SS24 Q2 Data'!$P7+Q17</f>
        <v>57234.738093412067</v>
      </c>
      <c r="T17" s="222">
        <f t="shared" si="3"/>
        <v>14027</v>
      </c>
      <c r="U17" s="68">
        <f t="shared" si="4"/>
        <v>0</v>
      </c>
      <c r="V17" s="68">
        <f t="shared" si="5"/>
        <v>0</v>
      </c>
      <c r="W17" s="217">
        <f t="shared" si="6"/>
        <v>2530</v>
      </c>
      <c r="X17" s="222">
        <f t="shared" si="7"/>
        <v>1879</v>
      </c>
      <c r="Y17" s="68">
        <f t="shared" si="8"/>
        <v>1004</v>
      </c>
      <c r="Z17" s="68">
        <f t="shared" si="9"/>
        <v>0</v>
      </c>
      <c r="AA17" s="68">
        <f t="shared" si="10"/>
        <v>0</v>
      </c>
      <c r="AB17" s="243">
        <f t="shared" si="11"/>
        <v>0.11387066541705718</v>
      </c>
      <c r="AD17" s="300">
        <f>Table3[[#This Row],[Pre-Order Cancellations Mix Shoes]]+Table3[[#This Row],[Pre-Order Cancellations  Mix %Apparel]]</f>
        <v>15906</v>
      </c>
      <c r="AE17" s="303">
        <f>Table3[[#This Row],[Tot Cancellation]]/Table3[[#This Row],[Tot PreOrder  Invoiced (units)]]</f>
        <v>0.27790814686772963</v>
      </c>
      <c r="AF17" s="300">
        <f>Table3[[#This Row],[Re-Order Rate %7]]+Table3[[#This Row],[Re-Order Rate %11]]</f>
        <v>1004</v>
      </c>
      <c r="AG17" s="231">
        <f>Table3[[#This Row],[ToT Reorders]]/Table3[[#This Row],[Tot Net Sales Invoiced (units)]]</f>
        <v>4.223811527135044E-3</v>
      </c>
      <c r="AH17" s="300">
        <f>Table3[[#This Row],[Stock Clearance Rate %8]]+Table3[[#This Row],[Stock Clearance Rate %12]]</f>
        <v>0</v>
      </c>
      <c r="AI17" s="231">
        <f>Table3[[#This Row],[ToT Stock Clearance]]/Table3[[#This Row],[Tot PreOrder  Invoiced (units)]]</f>
        <v>0</v>
      </c>
      <c r="AJ17" s="300">
        <f>Table3[[#This Row],[Returns Rate %13]]+Table3[[#This Row],[Returns Rate %9]]</f>
        <v>2530</v>
      </c>
      <c r="AK17" s="235">
        <f>Table3[[#This Row],[ToT Retruns]]/Table3[[#This Row],[Tot PreOrder  Invoiced (units)]]</f>
        <v>4.420392377564164E-2</v>
      </c>
      <c r="AL17" s="335">
        <v>0.06</v>
      </c>
      <c r="AM17" s="320">
        <v>0.1</v>
      </c>
      <c r="AN17" s="320">
        <v>0.01</v>
      </c>
      <c r="AO17" s="336">
        <v>0.03</v>
      </c>
      <c r="AP17" s="339">
        <f t="shared" ref="AP17:AP25" si="13">$AQ$2</f>
        <v>0.25</v>
      </c>
      <c r="AQ17" s="280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0.68</v>
      </c>
      <c r="AR17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305842.6724137931</v>
      </c>
      <c r="AS17" s="267">
        <f>Table3[[#This Row],[Tommaso''s FC Q2 SS5 Net Sales FC Shoes]]/Table3[[#This Row],[Net Sales Invoiced Shoes]]-1</f>
        <v>0.4331896551724137</v>
      </c>
      <c r="AT17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45305.084745762717</v>
      </c>
      <c r="AU17" s="315">
        <f>Table3[[#This Row],[Tommaso''s FC Q2 SS5 Net Sales FC Apparel]]/Table3[[#This Row],[Net Sales Invoiced Apparel]]-1</f>
        <v>0.86440677966101709</v>
      </c>
      <c r="AV17" s="316">
        <v>256100</v>
      </c>
      <c r="AW17" s="316">
        <v>25435</v>
      </c>
      <c r="AX17" s="317">
        <f>Table3[[#This Row],[Actual Order Book Shoes ]]/Table3[[#This Row],[Tommaso''s FC Q2 SS5 Net Sales FC Shoes]]-1</f>
        <v>-0.16264137381880195</v>
      </c>
      <c r="AY17" s="317">
        <f>Table3[[#This Row],[Actual Order Book Apparel ]]/Table3[[#This Row],[Tommaso''s FC Q2 SS5 Net Sales FC Apparel]]-1</f>
        <v>-0.43858398802843257</v>
      </c>
      <c r="AZ17" s="318">
        <f>Table3[[#This Row],[Actual Order Book Shoes ]]/Table3[[#This Row],[Net Sales Invoiced Shoes]]-1</f>
        <v>0.20009372071227749</v>
      </c>
      <c r="BA17" s="319">
        <f>IFERROR(Table3[[#This Row],[Actual Order Book Apparel ]]/Table3[[#This Row],[Net Sales Invoiced Apparel]]-1,"")</f>
        <v>4.6707818930041167E-2</v>
      </c>
    </row>
    <row r="18" spans="1:53" ht="15.6">
      <c r="A18" s="8" t="s">
        <v>50</v>
      </c>
      <c r="B18" s="8" t="s">
        <v>50</v>
      </c>
      <c r="C18" s="22" t="s">
        <v>52</v>
      </c>
      <c r="D18" s="22" t="s">
        <v>258</v>
      </c>
      <c r="E18" s="209">
        <v>95400</v>
      </c>
      <c r="F18" s="60">
        <v>9.2999999999999999E-2</v>
      </c>
      <c r="G18" s="61">
        <v>1.7000000000000001E-2</v>
      </c>
      <c r="H18" s="61">
        <v>0</v>
      </c>
      <c r="I18" s="210">
        <v>4.7E-2</v>
      </c>
      <c r="J18" s="209">
        <v>0</v>
      </c>
      <c r="K18" s="60">
        <v>0</v>
      </c>
      <c r="L18" s="65">
        <v>0</v>
      </c>
      <c r="M18" s="65">
        <v>0</v>
      </c>
      <c r="N18" s="210">
        <v>0</v>
      </c>
      <c r="O18" s="166"/>
      <c r="P18" s="216">
        <f t="shared" si="0"/>
        <v>108779.93158494869</v>
      </c>
      <c r="Q18" s="217">
        <f t="shared" si="1"/>
        <v>0</v>
      </c>
      <c r="R18" s="216">
        <f t="shared" si="2"/>
        <v>95400</v>
      </c>
      <c r="S18" s="217">
        <f>'SS24 Q2 Data'!$P9+Q18</f>
        <v>53947.368421052626</v>
      </c>
      <c r="T18" s="222">
        <f t="shared" si="3"/>
        <v>10117</v>
      </c>
      <c r="U18" s="68">
        <f t="shared" si="4"/>
        <v>1849</v>
      </c>
      <c r="V18" s="68">
        <f t="shared" si="5"/>
        <v>0</v>
      </c>
      <c r="W18" s="217">
        <f t="shared" si="6"/>
        <v>5113</v>
      </c>
      <c r="X18" s="222">
        <f t="shared" si="7"/>
        <v>0</v>
      </c>
      <c r="Y18" s="68">
        <f t="shared" si="8"/>
        <v>0</v>
      </c>
      <c r="Z18" s="68">
        <f t="shared" si="9"/>
        <v>0</v>
      </c>
      <c r="AA18" s="68">
        <f t="shared" si="10"/>
        <v>0</v>
      </c>
      <c r="AB18" s="243">
        <f t="shared" si="11"/>
        <v>0</v>
      </c>
      <c r="AD18" s="300">
        <f>Table3[[#This Row],[Pre-Order Cancellations Mix Shoes]]+Table3[[#This Row],[Pre-Order Cancellations  Mix %Apparel]]</f>
        <v>10117</v>
      </c>
      <c r="AE18" s="303">
        <f>Table3[[#This Row],[Tot Cancellation]]/Table3[[#This Row],[Tot PreOrder  Invoiced (units)]]</f>
        <v>0.18753463414634147</v>
      </c>
      <c r="AF18" s="300">
        <f>Table3[[#This Row],[Re-Order Rate %7]]+Table3[[#This Row],[Re-Order Rate %11]]</f>
        <v>1849</v>
      </c>
      <c r="AG18" s="231">
        <f>Table3[[#This Row],[ToT Reorders]]/Table3[[#This Row],[Tot Net Sales Invoiced (units)]]</f>
        <v>1.9381551362683439E-2</v>
      </c>
      <c r="AH18" s="300">
        <f>Table3[[#This Row],[Stock Clearance Rate %8]]+Table3[[#This Row],[Stock Clearance Rate %12]]</f>
        <v>0</v>
      </c>
      <c r="AI18" s="231">
        <f>Table3[[#This Row],[ToT Stock Clearance]]/Table3[[#This Row],[Tot PreOrder  Invoiced (units)]]</f>
        <v>0</v>
      </c>
      <c r="AJ18" s="300">
        <f>Table3[[#This Row],[Returns Rate %13]]+Table3[[#This Row],[Returns Rate %9]]</f>
        <v>5113</v>
      </c>
      <c r="AK18" s="235">
        <f>Table3[[#This Row],[ToT Retruns]]/Table3[[#This Row],[Tot PreOrder  Invoiced (units)]]</f>
        <v>9.477756097560977E-2</v>
      </c>
      <c r="AL18" s="335">
        <v>0.06</v>
      </c>
      <c r="AM18" s="320">
        <v>0.1</v>
      </c>
      <c r="AN18" s="320">
        <v>0.01</v>
      </c>
      <c r="AO18" s="336">
        <v>0.03</v>
      </c>
      <c r="AP18" s="339">
        <f t="shared" si="13"/>
        <v>0.25</v>
      </c>
      <c r="AQ18" s="288" t="s">
        <v>244</v>
      </c>
      <c r="AR18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144677.30900798176</v>
      </c>
      <c r="AS18" s="267">
        <f>Table3[[#This Row],[Tommaso''s FC Q2 SS5 Net Sales FC Shoes]]/Table3[[#This Row],[Net Sales Invoiced Shoes]]-1</f>
        <v>0.51653363740022806</v>
      </c>
      <c r="AT18" s="322">
        <v>10000</v>
      </c>
      <c r="AU18" s="323" t="s">
        <v>244</v>
      </c>
      <c r="AV18" s="316">
        <v>124000</v>
      </c>
      <c r="AW18" s="316">
        <v>0</v>
      </c>
      <c r="AX18" s="317">
        <f>Table3[[#This Row],[Actual Order Book Shoes ]]/Table3[[#This Row],[Tommaso''s FC Q2 SS5 Net Sales FC Shoes]]-1</f>
        <v>-0.1429201935656752</v>
      </c>
      <c r="AY18" s="317">
        <f>Table3[[#This Row],[Actual Order Book Apparel ]]/Table3[[#This Row],[Tommaso''s FC Q2 SS5 Net Sales FC Apparel]]-1</f>
        <v>-1</v>
      </c>
      <c r="AZ18" s="318">
        <f>Table3[[#This Row],[Actual Order Book Shoes ]]/Table3[[#This Row],[Net Sales Invoiced Shoes]]-1</f>
        <v>0.29979035639412999</v>
      </c>
      <c r="BA18" s="319" t="str">
        <f>IFERROR(Table3[[#This Row],[Actual Order Book Apparel ]]/Table3[[#This Row],[Net Sales Invoiced Apparel]]-1,"")</f>
        <v/>
      </c>
    </row>
    <row r="19" spans="1:53" ht="15.6">
      <c r="A19" s="9" t="s">
        <v>34</v>
      </c>
      <c r="B19" s="9" t="s">
        <v>37</v>
      </c>
      <c r="C19" s="22" t="s">
        <v>38</v>
      </c>
      <c r="D19" s="22" t="s">
        <v>260</v>
      </c>
      <c r="E19" s="209">
        <v>6800</v>
      </c>
      <c r="F19" s="60">
        <v>3.5999999999999997E-2</v>
      </c>
      <c r="G19" s="61">
        <v>3.6999999999999998E-2</v>
      </c>
      <c r="H19" s="61">
        <v>0</v>
      </c>
      <c r="I19" s="210">
        <v>0</v>
      </c>
      <c r="J19" s="209">
        <v>0</v>
      </c>
      <c r="K19" s="60">
        <v>0</v>
      </c>
      <c r="L19" s="65">
        <v>0</v>
      </c>
      <c r="M19" s="65">
        <v>0</v>
      </c>
      <c r="N19" s="210">
        <v>0</v>
      </c>
      <c r="O19" s="166"/>
      <c r="P19" s="216">
        <f t="shared" si="0"/>
        <v>6793.2067932067939</v>
      </c>
      <c r="Q19" s="217">
        <f t="shared" si="1"/>
        <v>0</v>
      </c>
      <c r="R19" s="216">
        <f t="shared" si="2"/>
        <v>6800</v>
      </c>
      <c r="S19" s="217">
        <f>'SS24 Q2 Data'!$P21+Q19</f>
        <v>1200</v>
      </c>
      <c r="T19" s="222">
        <f t="shared" si="3"/>
        <v>245</v>
      </c>
      <c r="U19" s="68">
        <f t="shared" si="4"/>
        <v>251</v>
      </c>
      <c r="V19" s="68">
        <f t="shared" si="5"/>
        <v>0</v>
      </c>
      <c r="W19" s="217">
        <f t="shared" si="6"/>
        <v>0</v>
      </c>
      <c r="X19" s="222">
        <f t="shared" si="7"/>
        <v>0</v>
      </c>
      <c r="Y19" s="68">
        <f t="shared" si="8"/>
        <v>0</v>
      </c>
      <c r="Z19" s="68">
        <f t="shared" si="9"/>
        <v>0</v>
      </c>
      <c r="AA19" s="68">
        <f t="shared" si="10"/>
        <v>0</v>
      </c>
      <c r="AB19" s="243">
        <f t="shared" si="11"/>
        <v>0</v>
      </c>
      <c r="AD19" s="300">
        <f>Table3[[#This Row],[Pre-Order Cancellations Mix Shoes]]+Table3[[#This Row],[Pre-Order Cancellations  Mix %Apparel]]</f>
        <v>245</v>
      </c>
      <c r="AE19" s="303">
        <f>Table3[[#This Row],[Tot Cancellation]]/Table3[[#This Row],[Tot PreOrder  Invoiced (units)]]</f>
        <v>0.20416666666666666</v>
      </c>
      <c r="AF19" s="300">
        <f>Table3[[#This Row],[Re-Order Rate %7]]+Table3[[#This Row],[Re-Order Rate %11]]</f>
        <v>251</v>
      </c>
      <c r="AG19" s="231">
        <f>Table3[[#This Row],[ToT Reorders]]/Table3[[#This Row],[Tot Net Sales Invoiced (units)]]</f>
        <v>3.6911764705882352E-2</v>
      </c>
      <c r="AH19" s="300">
        <f>Table3[[#This Row],[Stock Clearance Rate %8]]+Table3[[#This Row],[Stock Clearance Rate %12]]</f>
        <v>0</v>
      </c>
      <c r="AI19" s="231">
        <f>Table3[[#This Row],[ToT Stock Clearance]]/Table3[[#This Row],[Tot PreOrder  Invoiced (units)]]</f>
        <v>0</v>
      </c>
      <c r="AJ19" s="300">
        <f>Table3[[#This Row],[Returns Rate %13]]+Table3[[#This Row],[Returns Rate %9]]</f>
        <v>0</v>
      </c>
      <c r="AK19" s="235">
        <f>Table3[[#This Row],[ToT Retruns]]/Table3[[#This Row],[Tot PreOrder  Invoiced (units)]]</f>
        <v>0</v>
      </c>
      <c r="AL19" s="335">
        <v>0.03</v>
      </c>
      <c r="AM19" s="320">
        <v>0.3</v>
      </c>
      <c r="AN19" s="320">
        <v>0.01</v>
      </c>
      <c r="AO19" s="336">
        <v>0.03</v>
      </c>
      <c r="AP19" s="339">
        <f t="shared" si="13"/>
        <v>0.25</v>
      </c>
      <c r="AQ19" s="288" t="s">
        <v>244</v>
      </c>
      <c r="AR19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10597.402597402599</v>
      </c>
      <c r="AS19" s="267">
        <f>Table3[[#This Row],[Tommaso''s FC Q2 SS5 Net Sales FC Shoes]]/Table3[[#This Row],[Net Sales Invoiced Shoes]]-1</f>
        <v>0.55844155844155874</v>
      </c>
      <c r="AT19" s="322">
        <v>1500</v>
      </c>
      <c r="AU19" s="323" t="s">
        <v>244</v>
      </c>
      <c r="AV19" s="316">
        <v>2300</v>
      </c>
      <c r="AW19" s="316">
        <v>324</v>
      </c>
      <c r="AX19" s="317">
        <f>Table3[[#This Row],[Actual Order Book Shoes ]]/Table3[[#This Row],[Tommaso''s FC Q2 SS5 Net Sales FC Shoes]]-1</f>
        <v>-0.7829656862745098</v>
      </c>
      <c r="AY19" s="317">
        <f>Table3[[#This Row],[Actual Order Book Apparel ]]/Table3[[#This Row],[Tommaso''s FC Q2 SS5 Net Sales FC Apparel]]-1</f>
        <v>-0.78400000000000003</v>
      </c>
      <c r="AZ19" s="318">
        <f>Table3[[#This Row],[Actual Order Book Shoes ]]/Table3[[#This Row],[Net Sales Invoiced Shoes]]-1</f>
        <v>-0.66176470588235292</v>
      </c>
      <c r="BA19" s="319" t="str">
        <f>IFERROR(Table3[[#This Row],[Actual Order Book Apparel ]]/Table3[[#This Row],[Net Sales Invoiced Apparel]]-1,"")</f>
        <v/>
      </c>
    </row>
    <row r="20" spans="1:53" ht="15.6">
      <c r="A20" s="9" t="s">
        <v>34</v>
      </c>
      <c r="B20" s="8" t="s">
        <v>35</v>
      </c>
      <c r="C20" s="22" t="s">
        <v>36</v>
      </c>
      <c r="D20" s="22" t="s">
        <v>260</v>
      </c>
      <c r="E20" s="209">
        <v>2000</v>
      </c>
      <c r="F20" s="60">
        <v>0</v>
      </c>
      <c r="G20" s="61">
        <v>0</v>
      </c>
      <c r="H20" s="61">
        <v>0</v>
      </c>
      <c r="I20" s="210">
        <v>0</v>
      </c>
      <c r="J20" s="209">
        <v>250</v>
      </c>
      <c r="K20" s="60">
        <v>0</v>
      </c>
      <c r="L20" s="65">
        <v>0</v>
      </c>
      <c r="M20" s="65">
        <v>0</v>
      </c>
      <c r="N20" s="210">
        <v>0</v>
      </c>
      <c r="O20" s="166"/>
      <c r="P20" s="216">
        <f t="shared" si="0"/>
        <v>2000</v>
      </c>
      <c r="Q20" s="217">
        <f t="shared" si="1"/>
        <v>250</v>
      </c>
      <c r="R20" s="216">
        <f t="shared" si="2"/>
        <v>2250</v>
      </c>
      <c r="S20" s="217">
        <f>'SS24 Q2 Data'!$P24+Q20</f>
        <v>250.00000000099999</v>
      </c>
      <c r="T20" s="222">
        <f t="shared" si="3"/>
        <v>0</v>
      </c>
      <c r="U20" s="68">
        <f t="shared" si="4"/>
        <v>0</v>
      </c>
      <c r="V20" s="68">
        <f t="shared" si="5"/>
        <v>0</v>
      </c>
      <c r="W20" s="217">
        <f t="shared" si="6"/>
        <v>0</v>
      </c>
      <c r="X20" s="222">
        <f t="shared" si="7"/>
        <v>0</v>
      </c>
      <c r="Y20" s="68">
        <f t="shared" si="8"/>
        <v>0</v>
      </c>
      <c r="Z20" s="68">
        <f t="shared" si="9"/>
        <v>0</v>
      </c>
      <c r="AA20" s="68">
        <f t="shared" si="10"/>
        <v>0</v>
      </c>
      <c r="AB20" s="243">
        <f t="shared" si="11"/>
        <v>0.125</v>
      </c>
      <c r="AD20" s="300">
        <f>Table3[[#This Row],[Pre-Order Cancellations Mix Shoes]]+Table3[[#This Row],[Pre-Order Cancellations  Mix %Apparel]]</f>
        <v>0</v>
      </c>
      <c r="AE20" s="303">
        <f>Table3[[#This Row],[Tot Cancellation]]/Table3[[#This Row],[Tot PreOrder  Invoiced (units)]]</f>
        <v>0</v>
      </c>
      <c r="AF20" s="300">
        <f>Table3[[#This Row],[Re-Order Rate %7]]+Table3[[#This Row],[Re-Order Rate %11]]</f>
        <v>0</v>
      </c>
      <c r="AG20" s="231">
        <f>Table3[[#This Row],[ToT Reorders]]/Table3[[#This Row],[Tot Net Sales Invoiced (units)]]</f>
        <v>0</v>
      </c>
      <c r="AH20" s="300">
        <f>Table3[[#This Row],[Stock Clearance Rate %8]]+Table3[[#This Row],[Stock Clearance Rate %12]]</f>
        <v>0</v>
      </c>
      <c r="AI20" s="231">
        <f>Table3[[#This Row],[ToT Stock Clearance]]/Table3[[#This Row],[Tot PreOrder  Invoiced (units)]]</f>
        <v>0</v>
      </c>
      <c r="AJ20" s="300">
        <f>Table3[[#This Row],[Returns Rate %13]]+Table3[[#This Row],[Returns Rate %9]]</f>
        <v>0</v>
      </c>
      <c r="AK20" s="235">
        <f>Table3[[#This Row],[ToT Retruns]]/Table3[[#This Row],[Tot PreOrder  Invoiced (units)]]</f>
        <v>0</v>
      </c>
      <c r="AL20" s="335">
        <v>0.03</v>
      </c>
      <c r="AM20" s="320">
        <v>0.3</v>
      </c>
      <c r="AN20" s="320">
        <v>0.01</v>
      </c>
      <c r="AO20" s="336">
        <v>0.03</v>
      </c>
      <c r="AP20" s="339">
        <f t="shared" si="13"/>
        <v>0.25</v>
      </c>
      <c r="AQ20" s="280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0.68</v>
      </c>
      <c r="AR20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3120</v>
      </c>
      <c r="AS20" s="267">
        <f>Table3[[#This Row],[Tommaso''s FC Q2 SS5 Net Sales FC Shoes]]/Table3[[#This Row],[Net Sales Invoiced Shoes]]-1</f>
        <v>0.56000000000000005</v>
      </c>
      <c r="AT20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497.50000000000006</v>
      </c>
      <c r="AU20" s="315">
        <f>Table3[[#This Row],[Tommaso''s FC Q2 SS5 Net Sales FC Apparel]]/Table3[[#This Row],[Net Sales Invoiced Apparel]]-1</f>
        <v>0.99000000000000021</v>
      </c>
      <c r="AV20" s="316">
        <v>600</v>
      </c>
      <c r="AW20" s="316">
        <v>0</v>
      </c>
      <c r="AX20" s="317">
        <f>Table3[[#This Row],[Actual Order Book Shoes ]]/Table3[[#This Row],[Tommaso''s FC Q2 SS5 Net Sales FC Shoes]]-1</f>
        <v>-0.80769230769230771</v>
      </c>
      <c r="AY20" s="317">
        <f>Table3[[#This Row],[Actual Order Book Apparel ]]/Table3[[#This Row],[Tommaso''s FC Q2 SS5 Net Sales FC Apparel]]-1</f>
        <v>-1</v>
      </c>
      <c r="AZ20" s="318">
        <f>Table3[[#This Row],[Actual Order Book Shoes ]]/Table3[[#This Row],[Net Sales Invoiced Shoes]]-1</f>
        <v>-0.7</v>
      </c>
      <c r="BA20" s="319">
        <f>IFERROR(Table3[[#This Row],[Actual Order Book Apparel ]]/Table3[[#This Row],[Net Sales Invoiced Apparel]]-1,"")</f>
        <v>-1</v>
      </c>
    </row>
    <row r="21" spans="1:53" ht="15.6">
      <c r="A21" s="8" t="s">
        <v>50</v>
      </c>
      <c r="B21" s="8" t="s">
        <v>50</v>
      </c>
      <c r="C21" s="22" t="s">
        <v>53</v>
      </c>
      <c r="D21" s="22" t="s">
        <v>260</v>
      </c>
      <c r="E21" s="209">
        <v>1200</v>
      </c>
      <c r="F21" s="60">
        <v>0</v>
      </c>
      <c r="G21" s="61">
        <v>0</v>
      </c>
      <c r="H21" s="61">
        <v>0</v>
      </c>
      <c r="I21" s="210">
        <v>0</v>
      </c>
      <c r="J21" s="209">
        <v>0</v>
      </c>
      <c r="K21" s="60">
        <v>0</v>
      </c>
      <c r="L21" s="65">
        <v>0</v>
      </c>
      <c r="M21" s="65">
        <v>0</v>
      </c>
      <c r="N21" s="210">
        <v>0</v>
      </c>
      <c r="O21" s="166"/>
      <c r="P21" s="216">
        <f t="shared" si="0"/>
        <v>1200</v>
      </c>
      <c r="Q21" s="217">
        <f t="shared" si="1"/>
        <v>0</v>
      </c>
      <c r="R21" s="216">
        <f t="shared" si="2"/>
        <v>1200</v>
      </c>
      <c r="S21" s="217">
        <f>'SS24 Q2 Data'!$P25+Q21</f>
        <v>284.09090909090907</v>
      </c>
      <c r="T21" s="222">
        <f t="shared" si="3"/>
        <v>0</v>
      </c>
      <c r="U21" s="68">
        <f t="shared" si="4"/>
        <v>0</v>
      </c>
      <c r="V21" s="68">
        <f t="shared" si="5"/>
        <v>0</v>
      </c>
      <c r="W21" s="217">
        <f t="shared" si="6"/>
        <v>0</v>
      </c>
      <c r="X21" s="222">
        <f t="shared" si="7"/>
        <v>0</v>
      </c>
      <c r="Y21" s="68">
        <f t="shared" si="8"/>
        <v>0</v>
      </c>
      <c r="Z21" s="68">
        <f t="shared" si="9"/>
        <v>0</v>
      </c>
      <c r="AA21" s="68">
        <f t="shared" si="10"/>
        <v>0</v>
      </c>
      <c r="AB21" s="243">
        <f t="shared" si="11"/>
        <v>0</v>
      </c>
      <c r="AD21" s="300">
        <f>Table3[[#This Row],[Pre-Order Cancellations Mix Shoes]]+Table3[[#This Row],[Pre-Order Cancellations  Mix %Apparel]]</f>
        <v>0</v>
      </c>
      <c r="AE21" s="303">
        <f>Table3[[#This Row],[Tot Cancellation]]/Table3[[#This Row],[Tot PreOrder  Invoiced (units)]]</f>
        <v>0</v>
      </c>
      <c r="AF21" s="300">
        <f>Table3[[#This Row],[Re-Order Rate %7]]+Table3[[#This Row],[Re-Order Rate %11]]</f>
        <v>0</v>
      </c>
      <c r="AG21" s="231">
        <f>Table3[[#This Row],[ToT Reorders]]/Table3[[#This Row],[Tot Net Sales Invoiced (units)]]</f>
        <v>0</v>
      </c>
      <c r="AH21" s="300">
        <f>Table3[[#This Row],[Stock Clearance Rate %8]]+Table3[[#This Row],[Stock Clearance Rate %12]]</f>
        <v>0</v>
      </c>
      <c r="AI21" s="231">
        <f>Table3[[#This Row],[ToT Stock Clearance]]/Table3[[#This Row],[Tot PreOrder  Invoiced (units)]]</f>
        <v>0</v>
      </c>
      <c r="AJ21" s="300">
        <f>Table3[[#This Row],[Returns Rate %13]]+Table3[[#This Row],[Returns Rate %9]]</f>
        <v>0</v>
      </c>
      <c r="AK21" s="235">
        <f>Table3[[#This Row],[ToT Retruns]]/Table3[[#This Row],[Tot PreOrder  Invoiced (units)]]</f>
        <v>0</v>
      </c>
      <c r="AL21" s="335">
        <v>0.03</v>
      </c>
      <c r="AM21" s="320">
        <v>0.3</v>
      </c>
      <c r="AN21" s="320">
        <v>0.01</v>
      </c>
      <c r="AO21" s="336">
        <v>0.03</v>
      </c>
      <c r="AP21" s="339">
        <f t="shared" si="13"/>
        <v>0.25</v>
      </c>
      <c r="AQ21" s="288" t="s">
        <v>244</v>
      </c>
      <c r="AR21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1872</v>
      </c>
      <c r="AS21" s="267">
        <f>Table3[[#This Row],[Tommaso''s FC Q2 SS5 Net Sales FC Shoes]]/Table3[[#This Row],[Net Sales Invoiced Shoes]]-1</f>
        <v>0.56000000000000005</v>
      </c>
      <c r="AT21" s="322">
        <v>500</v>
      </c>
      <c r="AU21" s="323" t="s">
        <v>244</v>
      </c>
      <c r="AV21" s="316">
        <v>2400</v>
      </c>
      <c r="AW21" s="316">
        <v>123</v>
      </c>
      <c r="AX21" s="317">
        <f>Table3[[#This Row],[Actual Order Book Shoes ]]/Table3[[#This Row],[Tommaso''s FC Q2 SS5 Net Sales FC Shoes]]-1</f>
        <v>0.28205128205128216</v>
      </c>
      <c r="AY21" s="317">
        <f>Table3[[#This Row],[Actual Order Book Apparel ]]/Table3[[#This Row],[Tommaso''s FC Q2 SS5 Net Sales FC Apparel]]-1</f>
        <v>-0.754</v>
      </c>
      <c r="AZ21" s="318">
        <f>Table3[[#This Row],[Actual Order Book Shoes ]]/Table3[[#This Row],[Net Sales Invoiced Shoes]]-1</f>
        <v>1</v>
      </c>
      <c r="BA21" s="319" t="str">
        <f>IFERROR(Table3[[#This Row],[Actual Order Book Apparel ]]/Table3[[#This Row],[Net Sales Invoiced Apparel]]-1,"")</f>
        <v/>
      </c>
    </row>
    <row r="22" spans="1:53" ht="15.6">
      <c r="A22" s="9" t="s">
        <v>34</v>
      </c>
      <c r="B22" s="8" t="s">
        <v>43</v>
      </c>
      <c r="C22" s="22" t="s">
        <v>45</v>
      </c>
      <c r="D22" s="22" t="s">
        <v>260</v>
      </c>
      <c r="E22" s="209">
        <v>400</v>
      </c>
      <c r="F22" s="251">
        <v>0.76500000000000001</v>
      </c>
      <c r="G22" s="61">
        <v>0.38700000000000001</v>
      </c>
      <c r="H22" s="61">
        <v>0</v>
      </c>
      <c r="I22" s="210">
        <v>0</v>
      </c>
      <c r="J22" s="209">
        <v>100</v>
      </c>
      <c r="K22" s="60">
        <v>0</v>
      </c>
      <c r="L22" s="61">
        <v>0.42899999999999999</v>
      </c>
      <c r="M22" s="61">
        <v>0</v>
      </c>
      <c r="N22" s="210">
        <v>0</v>
      </c>
      <c r="O22" s="166"/>
      <c r="P22" s="216">
        <f t="shared" si="0"/>
        <v>643.08681672025727</v>
      </c>
      <c r="Q22" s="217">
        <f t="shared" si="1"/>
        <v>69.979006298110562</v>
      </c>
      <c r="R22" s="216">
        <f t="shared" si="2"/>
        <v>500</v>
      </c>
      <c r="S22" s="217">
        <f>'SS24 Q2 Data'!$P27+Q22</f>
        <v>4109.0380386993529</v>
      </c>
      <c r="T22" s="222">
        <f t="shared" si="3"/>
        <v>492</v>
      </c>
      <c r="U22" s="68">
        <f t="shared" si="4"/>
        <v>249</v>
      </c>
      <c r="V22" s="68">
        <f t="shared" si="5"/>
        <v>0</v>
      </c>
      <c r="W22" s="217">
        <f t="shared" si="6"/>
        <v>0</v>
      </c>
      <c r="X22" s="222">
        <f t="shared" si="7"/>
        <v>0</v>
      </c>
      <c r="Y22" s="68">
        <f t="shared" si="8"/>
        <v>30</v>
      </c>
      <c r="Z22" s="68">
        <f t="shared" si="9"/>
        <v>0</v>
      </c>
      <c r="AA22" s="68">
        <f t="shared" si="10"/>
        <v>0</v>
      </c>
      <c r="AB22" s="243">
        <f t="shared" si="11"/>
        <v>0.25</v>
      </c>
      <c r="AD22" s="300">
        <f>Table3[[#This Row],[Pre-Order Cancellations Mix Shoes]]+Table3[[#This Row],[Pre-Order Cancellations  Mix %Apparel]]</f>
        <v>492</v>
      </c>
      <c r="AE22" s="303">
        <f>Table3[[#This Row],[Tot Cancellation]]/Table3[[#This Row],[Tot PreOrder  Invoiced (units)]]</f>
        <v>0.11973605388080913</v>
      </c>
      <c r="AF22" s="300">
        <f>Table3[[#This Row],[Re-Order Rate %7]]+Table3[[#This Row],[Re-Order Rate %11]]</f>
        <v>279</v>
      </c>
      <c r="AG22" s="231">
        <f>Table3[[#This Row],[ToT Reorders]]/Table3[[#This Row],[Tot Net Sales Invoiced (units)]]</f>
        <v>0.55800000000000005</v>
      </c>
      <c r="AH22" s="300">
        <f>Table3[[#This Row],[Stock Clearance Rate %8]]+Table3[[#This Row],[Stock Clearance Rate %12]]</f>
        <v>0</v>
      </c>
      <c r="AI22" s="231">
        <f>Table3[[#This Row],[ToT Stock Clearance]]/Table3[[#This Row],[Tot PreOrder  Invoiced (units)]]</f>
        <v>0</v>
      </c>
      <c r="AJ22" s="300">
        <f>Table3[[#This Row],[Returns Rate %13]]+Table3[[#This Row],[Returns Rate %9]]</f>
        <v>0</v>
      </c>
      <c r="AK22" s="235">
        <f>Table3[[#This Row],[ToT Retruns]]/Table3[[#This Row],[Tot PreOrder  Invoiced (units)]]</f>
        <v>0</v>
      </c>
      <c r="AL22" s="335">
        <v>0.03</v>
      </c>
      <c r="AM22" s="320">
        <v>0.3</v>
      </c>
      <c r="AN22" s="320">
        <v>0.01</v>
      </c>
      <c r="AO22" s="336">
        <v>0.03</v>
      </c>
      <c r="AP22" s="339">
        <f t="shared" si="13"/>
        <v>0.25</v>
      </c>
      <c r="AQ22" s="280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0.68</v>
      </c>
      <c r="AR22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1003.2154340836014</v>
      </c>
      <c r="AS22" s="267">
        <f>Table3[[#This Row],[Tommaso''s FC Q2 SS5 Net Sales FC Shoes]]/Table3[[#This Row],[Net Sales Invoiced Shoes]]-1</f>
        <v>1.5080385852090035</v>
      </c>
      <c r="AT22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139.25822253324003</v>
      </c>
      <c r="AU22" s="315">
        <f>Table3[[#This Row],[Tommaso''s FC Q2 SS5 Net Sales FC Apparel]]/Table3[[#This Row],[Net Sales Invoiced Apparel]]-1</f>
        <v>0.39258222533240028</v>
      </c>
      <c r="AV22" s="316">
        <v>1900</v>
      </c>
      <c r="AW22" s="316">
        <v>75</v>
      </c>
      <c r="AX22" s="317">
        <f>Table3[[#This Row],[Actual Order Book Shoes ]]/Table3[[#This Row],[Tommaso''s FC Q2 SS5 Net Sales FC Shoes]]-1</f>
        <v>0.89391025641025612</v>
      </c>
      <c r="AY22" s="317">
        <f>Table3[[#This Row],[Actual Order Book Apparel ]]/Table3[[#This Row],[Tommaso''s FC Q2 SS5 Net Sales FC Apparel]]-1</f>
        <v>-0.46143216080402005</v>
      </c>
      <c r="AZ22" s="318">
        <f>Table3[[#This Row],[Actual Order Book Shoes ]]/Table3[[#This Row],[Net Sales Invoiced Shoes]]-1</f>
        <v>3.75</v>
      </c>
      <c r="BA22" s="319">
        <f>IFERROR(Table3[[#This Row],[Actual Order Book Apparel ]]/Table3[[#This Row],[Net Sales Invoiced Apparel]]-1,"")</f>
        <v>-0.25</v>
      </c>
    </row>
    <row r="23" spans="1:53" ht="15.6">
      <c r="A23" s="9" t="s">
        <v>34</v>
      </c>
      <c r="B23" s="8" t="s">
        <v>43</v>
      </c>
      <c r="C23" s="22" t="s">
        <v>44</v>
      </c>
      <c r="D23" s="22" t="s">
        <v>260</v>
      </c>
      <c r="E23" s="209">
        <v>900</v>
      </c>
      <c r="F23" s="60">
        <v>5.8000000000000003E-2</v>
      </c>
      <c r="G23" s="278">
        <v>1.2190000000000001</v>
      </c>
      <c r="H23" s="61">
        <v>0</v>
      </c>
      <c r="I23" s="210">
        <v>3.0000000000000001E-3</v>
      </c>
      <c r="J23" s="209">
        <v>0</v>
      </c>
      <c r="K23" s="60">
        <v>0</v>
      </c>
      <c r="L23" s="278">
        <v>0.83299999999999996</v>
      </c>
      <c r="M23" s="61">
        <v>0</v>
      </c>
      <c r="N23" s="210">
        <v>0</v>
      </c>
      <c r="O23" s="166"/>
      <c r="P23" s="216">
        <f t="shared" si="0"/>
        <v>417.05282669138091</v>
      </c>
      <c r="Q23" s="217">
        <f t="shared" si="1"/>
        <v>0</v>
      </c>
      <c r="R23" s="216">
        <f t="shared" si="2"/>
        <v>900</v>
      </c>
      <c r="S23" s="217">
        <f>'SS24 Q2 Data'!$P26+Q23</f>
        <v>4204.204204204204</v>
      </c>
      <c r="T23" s="222">
        <f t="shared" si="3"/>
        <v>24</v>
      </c>
      <c r="U23" s="68">
        <f t="shared" si="4"/>
        <v>508</v>
      </c>
      <c r="V23" s="68">
        <f t="shared" si="5"/>
        <v>0</v>
      </c>
      <c r="W23" s="217">
        <f t="shared" si="6"/>
        <v>1</v>
      </c>
      <c r="X23" s="222">
        <f t="shared" si="7"/>
        <v>0</v>
      </c>
      <c r="Y23" s="68">
        <f t="shared" si="8"/>
        <v>0</v>
      </c>
      <c r="Z23" s="68">
        <f t="shared" si="9"/>
        <v>0</v>
      </c>
      <c r="AA23" s="68">
        <f t="shared" si="10"/>
        <v>0</v>
      </c>
      <c r="AB23" s="243">
        <f t="shared" si="11"/>
        <v>0</v>
      </c>
      <c r="AD23" s="300">
        <f>Table3[[#This Row],[Pre-Order Cancellations Mix Shoes]]+Table3[[#This Row],[Pre-Order Cancellations  Mix %Apparel]]</f>
        <v>24</v>
      </c>
      <c r="AE23" s="303">
        <f>Table3[[#This Row],[Tot Cancellation]]/Table3[[#This Row],[Tot PreOrder  Invoiced (units)]]</f>
        <v>5.7085714285714292E-3</v>
      </c>
      <c r="AF23" s="300">
        <f>Table3[[#This Row],[Re-Order Rate %7]]+Table3[[#This Row],[Re-Order Rate %11]]</f>
        <v>508</v>
      </c>
      <c r="AG23" s="231">
        <f>Table3[[#This Row],[ToT Reorders]]/Table3[[#This Row],[Tot Net Sales Invoiced (units)]]</f>
        <v>0.56444444444444442</v>
      </c>
      <c r="AH23" s="300">
        <f>Table3[[#This Row],[Stock Clearance Rate %8]]+Table3[[#This Row],[Stock Clearance Rate %12]]</f>
        <v>0</v>
      </c>
      <c r="AI23" s="231">
        <f>Table3[[#This Row],[ToT Stock Clearance]]/Table3[[#This Row],[Tot PreOrder  Invoiced (units)]]</f>
        <v>0</v>
      </c>
      <c r="AJ23" s="300">
        <f>Table3[[#This Row],[Returns Rate %13]]+Table3[[#This Row],[Returns Rate %9]]</f>
        <v>1</v>
      </c>
      <c r="AK23" s="235">
        <f>Table3[[#This Row],[ToT Retruns]]/Table3[[#This Row],[Tot PreOrder  Invoiced (units)]]</f>
        <v>2.3785714285714287E-4</v>
      </c>
      <c r="AL23" s="335">
        <v>0.03</v>
      </c>
      <c r="AM23" s="320">
        <v>0.3</v>
      </c>
      <c r="AN23" s="320">
        <v>0.01</v>
      </c>
      <c r="AO23" s="336">
        <v>0.03</v>
      </c>
      <c r="AP23" s="339">
        <f t="shared" si="13"/>
        <v>0.25</v>
      </c>
      <c r="AQ23" s="288" t="s">
        <v>244</v>
      </c>
      <c r="AR23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650.60240963855426</v>
      </c>
      <c r="AS23" s="267">
        <f>Table3[[#This Row],[Tommaso''s FC Q2 SS5 Net Sales FC Shoes]]/Table3[[#This Row],[Net Sales Invoiced Shoes]]-1</f>
        <v>-0.27710843373493965</v>
      </c>
      <c r="AT23" s="322">
        <v>500</v>
      </c>
      <c r="AU23" s="323" t="s">
        <v>244</v>
      </c>
      <c r="AV23" s="316">
        <v>3300</v>
      </c>
      <c r="AW23" s="316">
        <v>50</v>
      </c>
      <c r="AX23" s="317">
        <f>Table3[[#This Row],[Actual Order Book Shoes ]]/Table3[[#This Row],[Tommaso''s FC Q2 SS5 Net Sales FC Shoes]]-1</f>
        <v>4.072222222222222</v>
      </c>
      <c r="AY23" s="317">
        <f>Table3[[#This Row],[Actual Order Book Apparel ]]/Table3[[#This Row],[Tommaso''s FC Q2 SS5 Net Sales FC Apparel]]-1</f>
        <v>-0.9</v>
      </c>
      <c r="AZ23" s="318">
        <f>Table3[[#This Row],[Actual Order Book Shoes ]]/Table3[[#This Row],[Net Sales Invoiced Shoes]]-1</f>
        <v>2.6666666666666665</v>
      </c>
      <c r="BA23" s="319" t="str">
        <f>IFERROR(Table3[[#This Row],[Actual Order Book Apparel ]]/Table3[[#This Row],[Net Sales Invoiced Apparel]]-1,"")</f>
        <v/>
      </c>
    </row>
    <row r="24" spans="1:53" ht="15.6">
      <c r="A24" s="9" t="s">
        <v>34</v>
      </c>
      <c r="B24" s="8" t="s">
        <v>40</v>
      </c>
      <c r="C24" s="22" t="s">
        <v>41</v>
      </c>
      <c r="D24" s="22" t="s">
        <v>260</v>
      </c>
      <c r="E24" s="209">
        <v>1.0000000000000001E-9</v>
      </c>
      <c r="F24" s="60">
        <v>0</v>
      </c>
      <c r="G24" s="310">
        <v>0</v>
      </c>
      <c r="H24" s="310">
        <v>0</v>
      </c>
      <c r="I24" s="210">
        <v>0</v>
      </c>
      <c r="J24" s="209">
        <v>0</v>
      </c>
      <c r="K24" s="60">
        <v>0</v>
      </c>
      <c r="L24" s="65">
        <v>0</v>
      </c>
      <c r="M24" s="65">
        <v>0</v>
      </c>
      <c r="N24" s="210">
        <v>0</v>
      </c>
      <c r="O24" s="166"/>
      <c r="P24" s="216">
        <f t="shared" si="0"/>
        <v>1.0000000000000001E-9</v>
      </c>
      <c r="Q24" s="217">
        <f t="shared" si="1"/>
        <v>0</v>
      </c>
      <c r="R24" s="216">
        <f t="shared" si="2"/>
        <v>1.0000000000000001E-9</v>
      </c>
      <c r="S24" s="217">
        <f>'SS24 Q2 Data'!$P29+Q24</f>
        <v>19400</v>
      </c>
      <c r="T24" s="222">
        <f t="shared" si="3"/>
        <v>0</v>
      </c>
      <c r="U24" s="68">
        <f t="shared" si="4"/>
        <v>0</v>
      </c>
      <c r="V24" s="68">
        <f t="shared" si="5"/>
        <v>0</v>
      </c>
      <c r="W24" s="217">
        <f t="shared" si="6"/>
        <v>0</v>
      </c>
      <c r="X24" s="222">
        <f t="shared" si="7"/>
        <v>0</v>
      </c>
      <c r="Y24" s="68">
        <f t="shared" si="8"/>
        <v>0</v>
      </c>
      <c r="Z24" s="68">
        <f t="shared" si="9"/>
        <v>0</v>
      </c>
      <c r="AA24" s="68">
        <f t="shared" si="10"/>
        <v>0</v>
      </c>
      <c r="AB24" s="243">
        <f t="shared" si="11"/>
        <v>0</v>
      </c>
      <c r="AD24" s="300">
        <f>Table3[[#This Row],[Pre-Order Cancellations Mix Shoes]]+Table3[[#This Row],[Pre-Order Cancellations  Mix %Apparel]]</f>
        <v>0</v>
      </c>
      <c r="AE24" s="303">
        <f>Table3[[#This Row],[Tot Cancellation]]/Table3[[#This Row],[Tot PreOrder  Invoiced (units)]]</f>
        <v>0</v>
      </c>
      <c r="AF24" s="300">
        <f>Table3[[#This Row],[Re-Order Rate %7]]+Table3[[#This Row],[Re-Order Rate %11]]</f>
        <v>0</v>
      </c>
      <c r="AG24" s="231">
        <f>Table3[[#This Row],[ToT Reorders]]/Table3[[#This Row],[Tot Net Sales Invoiced (units)]]</f>
        <v>0</v>
      </c>
      <c r="AH24" s="300">
        <f>Table3[[#This Row],[Stock Clearance Rate %8]]+Table3[[#This Row],[Stock Clearance Rate %12]]</f>
        <v>0</v>
      </c>
      <c r="AI24" s="231">
        <f>Table3[[#This Row],[ToT Stock Clearance]]/Table3[[#This Row],[Tot PreOrder  Invoiced (units)]]</f>
        <v>0</v>
      </c>
      <c r="AJ24" s="300">
        <f>Table3[[#This Row],[Returns Rate %13]]+Table3[[#This Row],[Returns Rate %9]]</f>
        <v>0</v>
      </c>
      <c r="AK24" s="235">
        <f>Table3[[#This Row],[ToT Retruns]]/Table3[[#This Row],[Tot PreOrder  Invoiced (units)]]</f>
        <v>0</v>
      </c>
      <c r="AL24" s="335">
        <v>0.03</v>
      </c>
      <c r="AM24" s="320">
        <v>0.3</v>
      </c>
      <c r="AN24" s="320">
        <v>0.01</v>
      </c>
      <c r="AO24" s="336">
        <v>0.03</v>
      </c>
      <c r="AP24" s="339">
        <f t="shared" si="13"/>
        <v>0.25</v>
      </c>
      <c r="AQ24" s="288" t="s">
        <v>244</v>
      </c>
      <c r="AR24" s="322">
        <v>500</v>
      </c>
      <c r="AS24" s="325" t="s">
        <v>244</v>
      </c>
      <c r="AT24" s="322">
        <v>500</v>
      </c>
      <c r="AU24" s="323" t="s">
        <v>244</v>
      </c>
      <c r="AV24" s="316">
        <v>15100</v>
      </c>
      <c r="AW24" s="316">
        <v>345</v>
      </c>
      <c r="AX24" s="319">
        <f>Table3[[#This Row],[Actual Order Book Shoes ]]/Table3[[#This Row],[Tommaso''s FC Q2 SS5 Net Sales FC Shoes]]-1</f>
        <v>29.2</v>
      </c>
      <c r="AY24" s="319">
        <f>Table3[[#This Row],[Actual Order Book Apparel ]]/Table3[[#This Row],[Tommaso''s FC Q2 SS5 Net Sales FC Apparel]]-1</f>
        <v>-0.31000000000000005</v>
      </c>
      <c r="AZ24" s="318">
        <f>Table3[[#This Row],[Actual Order Book Shoes ]]/Table3[[#This Row],[Net Sales Invoiced Shoes]]-1</f>
        <v>15099999999999</v>
      </c>
      <c r="BA24" s="319" t="str">
        <f>IFERROR(Table3[[#This Row],[Actual Order Book Apparel ]]/Table3[[#This Row],[Net Sales Invoiced Apparel]]-1,"")</f>
        <v/>
      </c>
    </row>
    <row r="25" spans="1:53" ht="15.6">
      <c r="A25" s="9" t="s">
        <v>46</v>
      </c>
      <c r="B25" s="9" t="s">
        <v>47</v>
      </c>
      <c r="C25" s="22" t="s">
        <v>48</v>
      </c>
      <c r="D25" s="22" t="s">
        <v>260</v>
      </c>
      <c r="E25" s="209">
        <v>300</v>
      </c>
      <c r="F25" s="60">
        <v>0</v>
      </c>
      <c r="G25" s="61">
        <v>0.20300000000000001</v>
      </c>
      <c r="H25" s="61">
        <v>0</v>
      </c>
      <c r="I25" s="277">
        <v>0.14699999999999999</v>
      </c>
      <c r="J25" s="209">
        <v>0</v>
      </c>
      <c r="K25" s="60">
        <v>0</v>
      </c>
      <c r="L25" s="65">
        <v>0</v>
      </c>
      <c r="M25" s="65">
        <v>0</v>
      </c>
      <c r="N25" s="210">
        <v>0</v>
      </c>
      <c r="O25" s="166"/>
      <c r="P25" s="216">
        <f t="shared" si="0"/>
        <v>284.09090909090907</v>
      </c>
      <c r="Q25" s="217">
        <f t="shared" si="1"/>
        <v>0</v>
      </c>
      <c r="R25" s="216">
        <f t="shared" si="2"/>
        <v>300</v>
      </c>
      <c r="S25" s="217">
        <f>'SS24 Q2 Data'!$P28+Q25</f>
        <v>22086.956521739132</v>
      </c>
      <c r="T25" s="222">
        <f t="shared" si="3"/>
        <v>0</v>
      </c>
      <c r="U25" s="68">
        <f t="shared" si="4"/>
        <v>58</v>
      </c>
      <c r="V25" s="68">
        <f t="shared" si="5"/>
        <v>0</v>
      </c>
      <c r="W25" s="217">
        <f t="shared" si="6"/>
        <v>42</v>
      </c>
      <c r="X25" s="222">
        <f t="shared" si="7"/>
        <v>0</v>
      </c>
      <c r="Y25" s="68">
        <f t="shared" si="8"/>
        <v>0</v>
      </c>
      <c r="Z25" s="68">
        <f t="shared" si="9"/>
        <v>0</v>
      </c>
      <c r="AA25" s="68">
        <f t="shared" si="10"/>
        <v>0</v>
      </c>
      <c r="AB25" s="243">
        <f t="shared" si="11"/>
        <v>0</v>
      </c>
      <c r="AD25" s="300">
        <f>Table3[[#This Row],[Pre-Order Cancellations Mix Shoes]]+Table3[[#This Row],[Pre-Order Cancellations  Mix %Apparel]]</f>
        <v>0</v>
      </c>
      <c r="AE25" s="303">
        <f>Table3[[#This Row],[Tot Cancellation]]/Table3[[#This Row],[Tot PreOrder  Invoiced (units)]]</f>
        <v>0</v>
      </c>
      <c r="AF25" s="300">
        <f>Table3[[#This Row],[Re-Order Rate %7]]+Table3[[#This Row],[Re-Order Rate %11]]</f>
        <v>58</v>
      </c>
      <c r="AG25" s="231">
        <f>Table3[[#This Row],[ToT Reorders]]/Table3[[#This Row],[Tot Net Sales Invoiced (units)]]</f>
        <v>0.19333333333333333</v>
      </c>
      <c r="AH25" s="300">
        <f>Table3[[#This Row],[Stock Clearance Rate %8]]+Table3[[#This Row],[Stock Clearance Rate %12]]</f>
        <v>0</v>
      </c>
      <c r="AI25" s="231">
        <f>Table3[[#This Row],[ToT Stock Clearance]]/Table3[[#This Row],[Tot PreOrder  Invoiced (units)]]</f>
        <v>0</v>
      </c>
      <c r="AJ25" s="300">
        <f>Table3[[#This Row],[Returns Rate %13]]+Table3[[#This Row],[Returns Rate %9]]</f>
        <v>42</v>
      </c>
      <c r="AK25" s="235">
        <f>Table3[[#This Row],[ToT Retruns]]/Table3[[#This Row],[Tot PreOrder  Invoiced (units)]]</f>
        <v>1.9015748031496061E-3</v>
      </c>
      <c r="AL25" s="335">
        <v>0.03</v>
      </c>
      <c r="AM25" s="320">
        <v>0.3</v>
      </c>
      <c r="AN25" s="320">
        <v>0.01</v>
      </c>
      <c r="AO25" s="336">
        <v>0.03</v>
      </c>
      <c r="AP25" s="339">
        <f t="shared" si="13"/>
        <v>0.25</v>
      </c>
      <c r="AQ25" s="288" t="s">
        <v>244</v>
      </c>
      <c r="AR25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443.18181818181813</v>
      </c>
      <c r="AS25" s="267">
        <f>Table3[[#This Row],[Tommaso''s FC Q2 SS5 Net Sales FC Shoes]]/Table3[[#This Row],[Net Sales Invoiced Shoes]]-1</f>
        <v>0.47727272727272707</v>
      </c>
      <c r="AT25" s="322">
        <v>500</v>
      </c>
      <c r="AU25" s="323" t="s">
        <v>244</v>
      </c>
      <c r="AV25" s="316">
        <v>900</v>
      </c>
      <c r="AW25" s="316">
        <v>0</v>
      </c>
      <c r="AX25" s="317">
        <f>Table3[[#This Row],[Actual Order Book Shoes ]]/Table3[[#This Row],[Tommaso''s FC Q2 SS5 Net Sales FC Shoes]]-1</f>
        <v>1.0307692307692311</v>
      </c>
      <c r="AY25" s="317">
        <f>Table3[[#This Row],[Actual Order Book Apparel ]]/Table3[[#This Row],[Tommaso''s FC Q2 SS5 Net Sales FC Apparel]]-1</f>
        <v>-1</v>
      </c>
      <c r="AZ25" s="318">
        <f>Table3[[#This Row],[Actual Order Book Shoes ]]/Table3[[#This Row],[Net Sales Invoiced Shoes]]-1</f>
        <v>2</v>
      </c>
      <c r="BA25" s="319" t="str">
        <f>IFERROR(Table3[[#This Row],[Actual Order Book Apparel ]]/Table3[[#This Row],[Net Sales Invoiced Apparel]]-1,"")</f>
        <v/>
      </c>
    </row>
    <row r="26" spans="1:53" ht="15.6">
      <c r="A26" s="9" t="s">
        <v>34</v>
      </c>
      <c r="B26" s="9" t="s">
        <v>37</v>
      </c>
      <c r="C26" s="22" t="s">
        <v>39</v>
      </c>
      <c r="D26" s="22" t="s">
        <v>261</v>
      </c>
      <c r="E26" s="209">
        <v>7000</v>
      </c>
      <c r="F26" s="60">
        <v>4.2000000000000003E-2</v>
      </c>
      <c r="G26" s="61">
        <v>3.0000000000000001E-3</v>
      </c>
      <c r="H26" s="251">
        <v>0.70399999999999996</v>
      </c>
      <c r="I26" s="210">
        <v>0</v>
      </c>
      <c r="J26" s="209">
        <v>1300</v>
      </c>
      <c r="K26" s="60">
        <v>4.8000000000000001E-2</v>
      </c>
      <c r="L26" s="61">
        <v>7.0000000000000001E-3</v>
      </c>
      <c r="M26" s="61">
        <v>0</v>
      </c>
      <c r="N26" s="210">
        <v>0</v>
      </c>
      <c r="O26" s="166"/>
      <c r="P26" s="216">
        <f t="shared" si="0"/>
        <v>4204.204204204204</v>
      </c>
      <c r="Q26" s="217">
        <f t="shared" si="1"/>
        <v>1355.5787278415019</v>
      </c>
      <c r="R26" s="216">
        <f t="shared" si="2"/>
        <v>8300</v>
      </c>
      <c r="S26" s="217">
        <f>'SS24 Q2 Data'!$P20+Q26</f>
        <v>3355.5787278415019</v>
      </c>
      <c r="T26" s="222">
        <f t="shared" si="3"/>
        <v>177</v>
      </c>
      <c r="U26" s="68">
        <f t="shared" si="4"/>
        <v>13</v>
      </c>
      <c r="V26" s="68">
        <f t="shared" si="5"/>
        <v>2960</v>
      </c>
      <c r="W26" s="217">
        <f t="shared" si="6"/>
        <v>0</v>
      </c>
      <c r="X26" s="222">
        <f t="shared" si="7"/>
        <v>65</v>
      </c>
      <c r="Y26" s="68">
        <f t="shared" si="8"/>
        <v>9</v>
      </c>
      <c r="Z26" s="68">
        <f t="shared" si="9"/>
        <v>0</v>
      </c>
      <c r="AA26" s="68">
        <f t="shared" si="10"/>
        <v>0</v>
      </c>
      <c r="AB26" s="243">
        <f t="shared" si="11"/>
        <v>0.18571428571428572</v>
      </c>
      <c r="AD26" s="300">
        <f>Table3[[#This Row],[Pre-Order Cancellations Mix Shoes]]+Table3[[#This Row],[Pre-Order Cancellations  Mix %Apparel]]</f>
        <v>242</v>
      </c>
      <c r="AE26" s="303">
        <f>Table3[[#This Row],[Tot Cancellation]]/Table3[[#This Row],[Tot PreOrder  Invoiced (units)]]</f>
        <v>7.2118707271597263E-2</v>
      </c>
      <c r="AF26" s="300">
        <f>Table3[[#This Row],[Re-Order Rate %7]]+Table3[[#This Row],[Re-Order Rate %11]]</f>
        <v>22</v>
      </c>
      <c r="AG26" s="231">
        <f>Table3[[#This Row],[ToT Reorders]]/Table3[[#This Row],[Tot Net Sales Invoiced (units)]]</f>
        <v>2.6506024096385541E-3</v>
      </c>
      <c r="AH26" s="300">
        <f>Table3[[#This Row],[Stock Clearance Rate %8]]+Table3[[#This Row],[Stock Clearance Rate %12]]</f>
        <v>2960</v>
      </c>
      <c r="AI26" s="231">
        <f>Table3[[#This Row],[ToT Stock Clearance]]/Table3[[#This Row],[Tot PreOrder  Invoiced (units)]]</f>
        <v>0.88211311373523915</v>
      </c>
      <c r="AJ26" s="300">
        <f>Table3[[#This Row],[Returns Rate %13]]+Table3[[#This Row],[Returns Rate %9]]</f>
        <v>0</v>
      </c>
      <c r="AK26" s="235">
        <f>Table3[[#This Row],[ToT Retruns]]/Table3[[#This Row],[Tot PreOrder  Invoiced (units)]]</f>
        <v>0</v>
      </c>
      <c r="AL26" s="335">
        <v>0.03</v>
      </c>
      <c r="AM26" s="320">
        <v>0.15</v>
      </c>
      <c r="AN26" s="320">
        <v>0.01</v>
      </c>
      <c r="AO26" s="336">
        <v>0.03</v>
      </c>
      <c r="AP26" s="340">
        <v>0.1</v>
      </c>
      <c r="AQ26" s="280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0.68</v>
      </c>
      <c r="AR26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5297.2972972972966</v>
      </c>
      <c r="AS26" s="267">
        <f>Table3[[#This Row],[Tommaso''s FC Q2 SS5 Net Sales FC Shoes]]/Table3[[#This Row],[Net Sales Invoiced Shoes]]-1</f>
        <v>-0.24324324324324331</v>
      </c>
      <c r="AT26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2494.2648592283631</v>
      </c>
      <c r="AU26" s="315">
        <f>Table3[[#This Row],[Tommaso''s FC Q2 SS5 Net Sales FC Apparel]]/Table3[[#This Row],[Net Sales Invoiced Apparel]]-1</f>
        <v>0.91866527632951001</v>
      </c>
      <c r="AV26" s="316">
        <v>10400</v>
      </c>
      <c r="AW26" s="316">
        <v>213</v>
      </c>
      <c r="AX26" s="317">
        <f>Table3[[#This Row],[Actual Order Book Shoes ]]/Table3[[#This Row],[Tommaso''s FC Q2 SS5 Net Sales FC Shoes]]-1</f>
        <v>0.96326530612244921</v>
      </c>
      <c r="AY26" s="317">
        <f>Table3[[#This Row],[Actual Order Book Apparel ]]/Table3[[#This Row],[Tommaso''s FC Q2 SS5 Net Sales FC Apparel]]-1</f>
        <v>-0.91460409698996659</v>
      </c>
      <c r="AZ26" s="318">
        <f>Table3[[#This Row],[Actual Order Book Shoes ]]/Table3[[#This Row],[Net Sales Invoiced Shoes]]-1</f>
        <v>0.48571428571428577</v>
      </c>
      <c r="BA26" s="319">
        <f>IFERROR(Table3[[#This Row],[Actual Order Book Apparel ]]/Table3[[#This Row],[Net Sales Invoiced Apparel]]-1,"")</f>
        <v>-0.83615384615384614</v>
      </c>
    </row>
    <row r="27" spans="1:53" ht="15.6">
      <c r="A27" s="8" t="s">
        <v>50</v>
      </c>
      <c r="B27" s="8" t="s">
        <v>50</v>
      </c>
      <c r="C27" s="22" t="s">
        <v>51</v>
      </c>
      <c r="D27" s="22" t="s">
        <v>259</v>
      </c>
      <c r="E27" s="209">
        <v>9100</v>
      </c>
      <c r="F27" s="60">
        <v>4.2000000000000003E-2</v>
      </c>
      <c r="G27" s="278">
        <v>1.2949999999999999</v>
      </c>
      <c r="H27" s="61">
        <v>0</v>
      </c>
      <c r="I27" s="210">
        <v>0</v>
      </c>
      <c r="J27" s="209">
        <v>1000</v>
      </c>
      <c r="K27" s="251">
        <v>0.19600000000000001</v>
      </c>
      <c r="L27" s="252">
        <v>0.88300000000000001</v>
      </c>
      <c r="M27" s="61">
        <v>0</v>
      </c>
      <c r="N27" s="210">
        <v>0</v>
      </c>
      <c r="O27" s="166"/>
      <c r="P27" s="216">
        <f t="shared" si="0"/>
        <v>4039.0590324012428</v>
      </c>
      <c r="Q27" s="217">
        <f t="shared" si="1"/>
        <v>592.76822762299935</v>
      </c>
      <c r="R27" s="216">
        <f t="shared" si="2"/>
        <v>10100</v>
      </c>
      <c r="S27" s="217">
        <f>'SS24 Q2 Data'!$P18+Q27</f>
        <v>109372.69981257169</v>
      </c>
      <c r="T27" s="222">
        <f t="shared" si="3"/>
        <v>170</v>
      </c>
      <c r="U27" s="68">
        <f t="shared" si="4"/>
        <v>5231</v>
      </c>
      <c r="V27" s="68">
        <f t="shared" si="5"/>
        <v>0</v>
      </c>
      <c r="W27" s="217">
        <f t="shared" si="6"/>
        <v>0</v>
      </c>
      <c r="X27" s="222">
        <f t="shared" si="7"/>
        <v>116</v>
      </c>
      <c r="Y27" s="68">
        <f t="shared" si="8"/>
        <v>523</v>
      </c>
      <c r="Z27" s="68">
        <f t="shared" si="9"/>
        <v>0</v>
      </c>
      <c r="AA27" s="68">
        <f t="shared" si="10"/>
        <v>0</v>
      </c>
      <c r="AB27" s="243">
        <f t="shared" si="11"/>
        <v>0.10989010989010989</v>
      </c>
      <c r="AD27" s="300">
        <f>Table3[[#This Row],[Pre-Order Cancellations Mix Shoes]]+Table3[[#This Row],[Pre-Order Cancellations  Mix %Apparel]]</f>
        <v>286</v>
      </c>
      <c r="AE27" s="303">
        <f>Table3[[#This Row],[Tot Cancellation]]/Table3[[#This Row],[Tot PreOrder  Invoiced (units)]]</f>
        <v>2.6149121352047498E-3</v>
      </c>
      <c r="AF27" s="300">
        <f>Table3[[#This Row],[Re-Order Rate %7]]+Table3[[#This Row],[Re-Order Rate %11]]</f>
        <v>5754</v>
      </c>
      <c r="AG27" s="231">
        <f>Table3[[#This Row],[ToT Reorders]]/Table3[[#This Row],[Tot Net Sales Invoiced (units)]]</f>
        <v>0.56970297029702965</v>
      </c>
      <c r="AH27" s="300">
        <f>Table3[[#This Row],[Stock Clearance Rate %8]]+Table3[[#This Row],[Stock Clearance Rate %12]]</f>
        <v>0</v>
      </c>
      <c r="AI27" s="231">
        <f>Table3[[#This Row],[ToT Stock Clearance]]/Table3[[#This Row],[Tot PreOrder  Invoiced (units)]]</f>
        <v>0</v>
      </c>
      <c r="AJ27" s="300">
        <f>Table3[[#This Row],[Returns Rate %13]]+Table3[[#This Row],[Returns Rate %9]]</f>
        <v>0</v>
      </c>
      <c r="AK27" s="235">
        <f>Table3[[#This Row],[ToT Retruns]]/Table3[[#This Row],[Tot PreOrder  Invoiced (units)]]</f>
        <v>0</v>
      </c>
      <c r="AL27" s="335">
        <v>0.03</v>
      </c>
      <c r="AM27" s="320">
        <v>0.15</v>
      </c>
      <c r="AN27" s="320">
        <v>0.01</v>
      </c>
      <c r="AO27" s="336">
        <v>0.03</v>
      </c>
      <c r="AP27" s="340">
        <f>100%</f>
        <v>1</v>
      </c>
      <c r="AQ27" s="288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0.68700000000000006</v>
      </c>
      <c r="AR27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8724.367509986685</v>
      </c>
      <c r="AS27" s="267">
        <f>Table3[[#This Row],[Tommaso''s FC Q2 SS5 Net Sales FC Shoes]]/Table3[[#This Row],[Net Sales Invoiced Shoes]]-1</f>
        <v>-4.1278295605858828E-2</v>
      </c>
      <c r="AT27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1094.8429164196798</v>
      </c>
      <c r="AU27" s="315">
        <f>Table3[[#This Row],[Tommaso''s FC Q2 SS5 Net Sales FC Apparel]]/Table3[[#This Row],[Net Sales Invoiced Apparel]]-1</f>
        <v>9.484291641967979E-2</v>
      </c>
      <c r="AV27" s="316">
        <v>21900</v>
      </c>
      <c r="AW27" s="316">
        <v>2345</v>
      </c>
      <c r="AX27" s="317">
        <f>Table3[[#This Row],[Actual Order Book Shoes ]]/Table3[[#This Row],[Tommaso''s FC Q2 SS5 Net Sales FC Shoes]]-1</f>
        <v>1.5102106227106225</v>
      </c>
      <c r="AY27" s="317">
        <f>Table3[[#This Row],[Actual Order Book Apparel ]]/Table3[[#This Row],[Tommaso''s FC Q2 SS5 Net Sales FC Apparel]]-1</f>
        <v>1.1418597726042234</v>
      </c>
      <c r="AZ27" s="318">
        <f>Table3[[#This Row],[Actual Order Book Shoes ]]/Table3[[#This Row],[Net Sales Invoiced Shoes]]-1</f>
        <v>1.4065934065934065</v>
      </c>
      <c r="BA27" s="319">
        <f>IFERROR(Table3[[#This Row],[Actual Order Book Apparel ]]/Table3[[#This Row],[Net Sales Invoiced Apparel]]-1,"")</f>
        <v>1.3450000000000002</v>
      </c>
    </row>
    <row r="28" spans="1:53" ht="15.6">
      <c r="A28" s="9" t="s">
        <v>46</v>
      </c>
      <c r="B28" s="9" t="s">
        <v>47</v>
      </c>
      <c r="C28" s="309" t="s">
        <v>86</v>
      </c>
      <c r="D28" s="22"/>
      <c r="E28" s="209">
        <v>25400</v>
      </c>
      <c r="F28" s="60">
        <v>1.0999999999999999E-2</v>
      </c>
      <c r="G28" s="61">
        <v>0.161</v>
      </c>
      <c r="H28" s="61">
        <v>0</v>
      </c>
      <c r="I28" s="210">
        <v>0</v>
      </c>
      <c r="J28" s="209">
        <v>5400</v>
      </c>
      <c r="K28" s="60">
        <v>6.4000000000000001E-2</v>
      </c>
      <c r="L28" s="61">
        <v>0</v>
      </c>
      <c r="M28" s="61">
        <v>0</v>
      </c>
      <c r="N28" s="210">
        <v>0</v>
      </c>
      <c r="O28" s="166"/>
      <c r="P28" s="216">
        <f t="shared" si="0"/>
        <v>22086.956521739132</v>
      </c>
      <c r="Q28" s="217">
        <f t="shared" si="1"/>
        <v>5769.2307692307695</v>
      </c>
      <c r="R28" s="216">
        <f t="shared" si="2"/>
        <v>30800</v>
      </c>
      <c r="S28" s="217">
        <f>'SS24 Q2 Data'!$P15+Q28</f>
        <v>7464.146023468058</v>
      </c>
      <c r="T28" s="222">
        <f t="shared" si="3"/>
        <v>243</v>
      </c>
      <c r="U28" s="68">
        <f t="shared" si="4"/>
        <v>3556</v>
      </c>
      <c r="V28" s="68">
        <f t="shared" si="5"/>
        <v>0</v>
      </c>
      <c r="W28" s="217">
        <f t="shared" si="6"/>
        <v>0</v>
      </c>
      <c r="X28" s="222">
        <f t="shared" si="7"/>
        <v>369</v>
      </c>
      <c r="Y28" s="68">
        <f t="shared" si="8"/>
        <v>0</v>
      </c>
      <c r="Z28" s="68">
        <f t="shared" si="9"/>
        <v>0</v>
      </c>
      <c r="AA28" s="68">
        <f t="shared" si="10"/>
        <v>0</v>
      </c>
      <c r="AB28" s="243">
        <f t="shared" si="11"/>
        <v>0.2125984251968504</v>
      </c>
      <c r="AD28" s="300">
        <f>Table3[[#This Row],[Pre-Order Cancellations Mix Shoes]]+Table3[[#This Row],[Pre-Order Cancellations  Mix %Apparel]]</f>
        <v>612</v>
      </c>
      <c r="AE28" s="303">
        <f>Table3[[#This Row],[Tot Cancellation]]/Table3[[#This Row],[Tot PreOrder  Invoiced (units)]]</f>
        <v>8.1991965065502173E-2</v>
      </c>
      <c r="AF28" s="300">
        <f>Table3[[#This Row],[Re-Order Rate %7]]+Table3[[#This Row],[Re-Order Rate %11]]</f>
        <v>3556</v>
      </c>
      <c r="AG28" s="231">
        <f>Table3[[#This Row],[ToT Reorders]]/Table3[[#This Row],[Tot Net Sales Invoiced (units)]]</f>
        <v>0.11545454545454545</v>
      </c>
      <c r="AH28" s="300">
        <f>Table3[[#This Row],[Stock Clearance Rate %8]]+Table3[[#This Row],[Stock Clearance Rate %12]]</f>
        <v>0</v>
      </c>
      <c r="AI28" s="231">
        <f>Table3[[#This Row],[ToT Stock Clearance]]/Table3[[#This Row],[Tot PreOrder  Invoiced (units)]]</f>
        <v>0</v>
      </c>
      <c r="AJ28" s="300">
        <f>Table3[[#This Row],[Returns Rate %13]]+Table3[[#This Row],[Returns Rate %9]]</f>
        <v>0</v>
      </c>
      <c r="AK28" s="235">
        <f>Table3[[#This Row],[ToT Retruns]]/Table3[[#This Row],[Tot PreOrder  Invoiced (units)]]</f>
        <v>0</v>
      </c>
      <c r="AL28" s="335">
        <v>0.03</v>
      </c>
      <c r="AM28" s="320">
        <v>0.15</v>
      </c>
      <c r="AN28" s="320">
        <v>0.01</v>
      </c>
      <c r="AO28" s="336">
        <v>0.03</v>
      </c>
      <c r="AP28" s="339">
        <f>$AQ$2</f>
        <v>0.25</v>
      </c>
      <c r="AQ28" s="280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0.68</v>
      </c>
      <c r="AR28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31142.608695652176</v>
      </c>
      <c r="AS28" s="267">
        <f>Table3[[#This Row],[Tommaso''s FC Q2 SS5 Net Sales FC Shoes]]/Table3[[#This Row],[Net Sales Invoiced Shoes]]-1</f>
        <v>0.22608695652173916</v>
      </c>
      <c r="AT28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10615.384615384615</v>
      </c>
      <c r="AU28" s="315">
        <f>Table3[[#This Row],[Tommaso''s FC Q2 SS5 Net Sales FC Apparel]]/Table3[[#This Row],[Net Sales Invoiced Apparel]]-1</f>
        <v>0.96581196581196571</v>
      </c>
      <c r="AV28" s="316">
        <v>10700</v>
      </c>
      <c r="AW28" s="316">
        <v>1532</v>
      </c>
      <c r="AX28" s="317">
        <f>Table3[[#This Row],[Actual Order Book Shoes ]]/Table3[[#This Row],[Tommaso''s FC Q2 SS5 Net Sales FC Shoes]]-1</f>
        <v>-0.65641927737756189</v>
      </c>
      <c r="AY28" s="317">
        <f>Table3[[#This Row],[Actual Order Book Apparel ]]/Table3[[#This Row],[Tommaso''s FC Q2 SS5 Net Sales FC Apparel]]-1</f>
        <v>-0.85568115942028988</v>
      </c>
      <c r="AZ28" s="318">
        <f>Table3[[#This Row],[Actual Order Book Shoes ]]/Table3[[#This Row],[Net Sales Invoiced Shoes]]-1</f>
        <v>-0.57874015748031504</v>
      </c>
      <c r="BA28" s="319">
        <f>IFERROR(Table3[[#This Row],[Actual Order Book Apparel ]]/Table3[[#This Row],[Net Sales Invoiced Apparel]]-1,"")</f>
        <v>-0.71629629629629632</v>
      </c>
    </row>
    <row r="29" spans="1:53" ht="16.2" thickBot="1">
      <c r="A29" s="10" t="s">
        <v>29</v>
      </c>
      <c r="B29" s="10" t="s">
        <v>30</v>
      </c>
      <c r="C29" s="332" t="s">
        <v>74</v>
      </c>
      <c r="D29" s="22"/>
      <c r="E29" s="211">
        <v>19400</v>
      </c>
      <c r="F29" s="212">
        <v>0</v>
      </c>
      <c r="G29" s="311">
        <v>0</v>
      </c>
      <c r="H29" s="311">
        <v>0</v>
      </c>
      <c r="I29" s="213">
        <v>0</v>
      </c>
      <c r="J29" s="211">
        <v>1600</v>
      </c>
      <c r="K29" s="212">
        <v>0</v>
      </c>
      <c r="L29" s="311">
        <v>0</v>
      </c>
      <c r="M29" s="311">
        <v>0</v>
      </c>
      <c r="N29" s="213">
        <v>0</v>
      </c>
      <c r="O29" s="166"/>
      <c r="P29" s="218">
        <f t="shared" si="0"/>
        <v>19400</v>
      </c>
      <c r="Q29" s="219">
        <f t="shared" si="1"/>
        <v>1600</v>
      </c>
      <c r="R29" s="218">
        <f t="shared" si="2"/>
        <v>21000</v>
      </c>
      <c r="S29" s="219">
        <f>'SS24 Q2 Data'!$P17+Q29</f>
        <v>231556.89655172412</v>
      </c>
      <c r="T29" s="223">
        <f t="shared" si="3"/>
        <v>0</v>
      </c>
      <c r="U29" s="224">
        <f t="shared" si="4"/>
        <v>0</v>
      </c>
      <c r="V29" s="224">
        <f t="shared" si="5"/>
        <v>0</v>
      </c>
      <c r="W29" s="219">
        <f t="shared" si="6"/>
        <v>0</v>
      </c>
      <c r="X29" s="223">
        <f t="shared" si="7"/>
        <v>0</v>
      </c>
      <c r="Y29" s="224">
        <f t="shared" si="8"/>
        <v>0</v>
      </c>
      <c r="Z29" s="224">
        <f t="shared" si="9"/>
        <v>0</v>
      </c>
      <c r="AA29" s="224">
        <f t="shared" si="10"/>
        <v>0</v>
      </c>
      <c r="AB29" s="244">
        <f t="shared" si="11"/>
        <v>8.247422680412371E-2</v>
      </c>
      <c r="AC29" s="120"/>
      <c r="AD29" s="301">
        <f>Table3[[#This Row],[Pre-Order Cancellations Mix Shoes]]+Table3[[#This Row],[Pre-Order Cancellations  Mix %Apparel]]</f>
        <v>0</v>
      </c>
      <c r="AE29" s="304">
        <f>Table3[[#This Row],[Tot Cancellation]]/Table3[[#This Row],[Tot PreOrder  Invoiced (units)]]</f>
        <v>0</v>
      </c>
      <c r="AF29" s="301">
        <f>Table3[[#This Row],[Re-Order Rate %7]]+Table3[[#This Row],[Re-Order Rate %11]]</f>
        <v>0</v>
      </c>
      <c r="AG29" s="308">
        <f>Table3[[#This Row],[ToT Reorders]]/Table3[[#This Row],[Tot Net Sales Invoiced (units)]]</f>
        <v>0</v>
      </c>
      <c r="AH29" s="301">
        <f>Table3[[#This Row],[Stock Clearance Rate %8]]+Table3[[#This Row],[Stock Clearance Rate %12]]</f>
        <v>0</v>
      </c>
      <c r="AI29" s="308">
        <f>Table3[[#This Row],[ToT Stock Clearance]]/Table3[[#This Row],[Tot PreOrder  Invoiced (units)]]</f>
        <v>0</v>
      </c>
      <c r="AJ29" s="301">
        <f>Table3[[#This Row],[Returns Rate %13]]+Table3[[#This Row],[Returns Rate %9]]</f>
        <v>0</v>
      </c>
      <c r="AK29" s="307">
        <f>Table3[[#This Row],[ToT Retruns]]/Table3[[#This Row],[Tot PreOrder  Invoiced (units)]]</f>
        <v>0</v>
      </c>
      <c r="AL29" s="337">
        <v>0.03</v>
      </c>
      <c r="AM29" s="324">
        <v>0.15</v>
      </c>
      <c r="AN29" s="324">
        <v>0.01</v>
      </c>
      <c r="AO29" s="338">
        <v>0.03</v>
      </c>
      <c r="AP29" s="341">
        <f>$AQ$2</f>
        <v>0.25</v>
      </c>
      <c r="AQ29" s="312">
        <f>IF(Table3[[#This Row],[Re-Order Rate %4]]-Table3[[#This Row],[Pre-Order Cancellations  Mix %2]]-Table3[[#This Row],[Returns Rate %6]]&lt;$AQ$1,$AQ$1,Table3[[#This Row],[Re-Order Rate %4]]-Table3[[#This Row],[Pre-Order Cancellations  Mix %2]]-Table3[[#This Row],[Returns Rate %6]])</f>
        <v>0.68</v>
      </c>
      <c r="AR29" s="314">
        <f>Table3[[#This Row],[Pre-Orders Booked LYQ2 (shoes)]]*(1+Table3[[#This Row],[Re-Order Rate % FC]]+Table3[[#This Row],[Stock Clearance Rate %2]]+Table3[[#This Row],[Returns Rate %2]]-Table3[[#This Row],[FC Cancellation Mix %Shoes]]+Table3[[#This Row],[Exp Shoes PreOrder Growth Rate]])</f>
        <v>27354</v>
      </c>
      <c r="AS29" s="267">
        <f>Table3[[#This Row],[Tommaso''s FC Q2 SS5 Net Sales FC Shoes]]/Table3[[#This Row],[Net Sales Invoiced Shoes]]-1</f>
        <v>0.40999999999999992</v>
      </c>
      <c r="AT29" s="314">
        <f>Table3[[#This Row],[Pre-Orders Booked LYQ2 (apparel)]]*(1+Table3[[#This Row],[Re-Order Rate % FC]]+Table3[[#This Row],[Stock Clearance Rate %2]]+Table3[[#This Row],[Returns Rate %2]]-Table3[[#This Row],[FC Cancellation Mix %Shoes]]+Table3[[#This Row],[Exp Apparel PreOrder Growth Rate]])</f>
        <v>2944</v>
      </c>
      <c r="AU29" s="315">
        <f>Table3[[#This Row],[Tommaso''s FC Q2 SS5 Net Sales FC Apparel]]/Table3[[#This Row],[Net Sales Invoiced Apparel]]-1</f>
        <v>0.84000000000000008</v>
      </c>
      <c r="AV29" s="316">
        <v>14800</v>
      </c>
      <c r="AW29" s="316">
        <v>4095</v>
      </c>
      <c r="AX29" s="317">
        <f>Table3[[#This Row],[Actual Order Book Shoes ]]/Table3[[#This Row],[Tommaso''s FC Q2 SS5 Net Sales FC Shoes]]-1</f>
        <v>-0.45894567522117424</v>
      </c>
      <c r="AY29" s="317">
        <f>Table3[[#This Row],[Actual Order Book Apparel ]]/Table3[[#This Row],[Tommaso''s FC Q2 SS5 Net Sales FC Apparel]]-1</f>
        <v>0.39096467391304346</v>
      </c>
      <c r="AZ29" s="318">
        <f>Table3[[#This Row],[Actual Order Book Shoes ]]/Table3[[#This Row],[Net Sales Invoiced Shoes]]-1</f>
        <v>-0.23711340206185572</v>
      </c>
      <c r="BA29" s="319">
        <f>IFERROR(Table3[[#This Row],[Actual Order Book Apparel ]]/Table3[[#This Row],[Net Sales Invoiced Apparel]]-1,"")</f>
        <v>1.5593750000000002</v>
      </c>
    </row>
    <row r="30" spans="1:5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66"/>
      <c r="P30" s="167"/>
      <c r="Q30" s="167"/>
      <c r="U30" s="67"/>
    </row>
    <row r="31" spans="1:53">
      <c r="O31" s="166"/>
    </row>
    <row r="32" spans="1:53">
      <c r="O32" s="166"/>
    </row>
  </sheetData>
  <mergeCells count="7">
    <mergeCell ref="AD2:AE3"/>
    <mergeCell ref="E4:I4"/>
    <mergeCell ref="J4:N4"/>
    <mergeCell ref="T4:W4"/>
    <mergeCell ref="X4:AA4"/>
    <mergeCell ref="P4:Q4"/>
    <mergeCell ref="R2:T3"/>
  </mergeCells>
  <phoneticPr fontId="38" type="noConversion"/>
  <conditionalFormatting sqref="AX7:AX2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Y7:AY2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6225-D51F-4D26-8C7A-66FC81029847}">
  <sheetPr>
    <tabColor theme="7" tint="0.79998168889431442"/>
  </sheetPr>
  <dimension ref="B2:Q65"/>
  <sheetViews>
    <sheetView showGridLines="0" workbookViewId="0">
      <selection activeCell="G13" sqref="G13"/>
    </sheetView>
  </sheetViews>
  <sheetFormatPr defaultRowHeight="13.2"/>
  <cols>
    <col min="1" max="1" width="4" customWidth="1"/>
    <col min="2" max="2" width="16" bestFit="1" customWidth="1"/>
    <col min="3" max="3" width="10.5546875" bestFit="1" customWidth="1"/>
    <col min="4" max="4" width="11" bestFit="1" customWidth="1"/>
    <col min="5" max="5" width="9.109375" bestFit="1" customWidth="1"/>
    <col min="6" max="6" width="8" style="24" bestFit="1" customWidth="1"/>
    <col min="7" max="7" width="13.5546875" style="24" bestFit="1" customWidth="1"/>
    <col min="8" max="8" width="13.5546875" bestFit="1" customWidth="1"/>
    <col min="9" max="9" width="10.5546875" bestFit="1" customWidth="1"/>
    <col min="10" max="10" width="16.33203125" bestFit="1" customWidth="1"/>
    <col min="11" max="11" width="4.21875" customWidth="1"/>
    <col min="12" max="12" width="17.6640625" customWidth="1"/>
    <col min="13" max="15" width="9.77734375" customWidth="1"/>
    <col min="16" max="16" width="3" customWidth="1"/>
    <col min="17" max="18" width="8.77734375" bestFit="1" customWidth="1"/>
  </cols>
  <sheetData>
    <row r="2" spans="2:17" ht="13.8" thickBot="1"/>
    <row r="3" spans="2:17" s="168" customFormat="1" ht="40.200000000000003" customHeight="1" thickBot="1">
      <c r="B3" s="249" t="s">
        <v>117</v>
      </c>
      <c r="C3" s="271" t="s">
        <v>226</v>
      </c>
      <c r="D3" s="272" t="s">
        <v>227</v>
      </c>
      <c r="E3" s="272" t="s">
        <v>225</v>
      </c>
      <c r="F3" s="273" t="s">
        <v>224</v>
      </c>
      <c r="G3" s="547" t="s">
        <v>232</v>
      </c>
      <c r="H3" s="548" t="s">
        <v>233</v>
      </c>
      <c r="I3" s="250" t="s">
        <v>235</v>
      </c>
      <c r="J3" s="250" t="s">
        <v>234</v>
      </c>
    </row>
    <row r="4" spans="2:17" ht="13.8" thickBot="1">
      <c r="B4" s="57" t="s">
        <v>31</v>
      </c>
      <c r="C4" s="234">
        <v>35804</v>
      </c>
      <c r="D4" s="234">
        <v>6189</v>
      </c>
      <c r="E4" s="234">
        <v>115231</v>
      </c>
      <c r="F4" s="234">
        <v>14559</v>
      </c>
      <c r="G4" s="327">
        <v>368300</v>
      </c>
      <c r="H4" s="327">
        <v>27900</v>
      </c>
      <c r="I4" s="234">
        <v>396200</v>
      </c>
      <c r="J4" s="274">
        <v>0.11267452735866687</v>
      </c>
      <c r="M4" s="26" t="s">
        <v>265</v>
      </c>
    </row>
    <row r="5" spans="2:17" ht="13.8" thickBot="1">
      <c r="B5" s="564" t="s">
        <v>54</v>
      </c>
      <c r="C5" s="234">
        <v>15906</v>
      </c>
      <c r="D5" s="234">
        <v>0</v>
      </c>
      <c r="E5" s="234">
        <v>1004</v>
      </c>
      <c r="F5" s="234">
        <v>2530</v>
      </c>
      <c r="G5" s="327">
        <v>213400</v>
      </c>
      <c r="H5" s="327">
        <v>24300</v>
      </c>
      <c r="I5" s="234">
        <v>237700</v>
      </c>
      <c r="J5" s="274">
        <v>0.11387066541705718</v>
      </c>
      <c r="M5" s="549" t="s">
        <v>65</v>
      </c>
      <c r="N5" s="550" t="s">
        <v>66</v>
      </c>
      <c r="O5" s="259" t="s">
        <v>141</v>
      </c>
    </row>
    <row r="6" spans="2:17">
      <c r="B6" s="564" t="s">
        <v>52</v>
      </c>
      <c r="C6" s="234">
        <v>10117</v>
      </c>
      <c r="D6" s="234">
        <v>0</v>
      </c>
      <c r="E6" s="234">
        <v>1849</v>
      </c>
      <c r="F6" s="234">
        <v>5113</v>
      </c>
      <c r="G6" s="327">
        <v>95400</v>
      </c>
      <c r="H6" s="327">
        <v>0</v>
      </c>
      <c r="I6" s="234">
        <v>95400</v>
      </c>
      <c r="J6" s="274">
        <v>0</v>
      </c>
      <c r="L6" s="261" t="s">
        <v>58</v>
      </c>
      <c r="M6" s="264">
        <v>785600.00000000105</v>
      </c>
      <c r="N6" s="265">
        <v>64550</v>
      </c>
      <c r="O6" s="260">
        <f>SUM(M6:N6)</f>
        <v>850150.00000000105</v>
      </c>
    </row>
    <row r="7" spans="2:17">
      <c r="B7" s="564" t="s">
        <v>42</v>
      </c>
      <c r="C7" s="234">
        <v>56997</v>
      </c>
      <c r="D7" s="234">
        <v>0</v>
      </c>
      <c r="E7" s="234">
        <v>0</v>
      </c>
      <c r="F7" s="234">
        <v>4331</v>
      </c>
      <c r="G7" s="327">
        <v>36000</v>
      </c>
      <c r="H7" s="327">
        <v>2700</v>
      </c>
      <c r="I7" s="234">
        <v>38700</v>
      </c>
      <c r="J7" s="274">
        <v>7.4999999999999997E-2</v>
      </c>
      <c r="L7" s="262" t="s">
        <v>239</v>
      </c>
      <c r="M7" s="266">
        <v>0.13712505479031942</v>
      </c>
      <c r="N7" s="331">
        <v>0.1724625144430931</v>
      </c>
      <c r="O7" s="257">
        <f>SUMPRODUCT(M7:N7,$M$6:$N$6)/$O$6</f>
        <v>0.13980814956252025</v>
      </c>
      <c r="Q7" s="25" t="s">
        <v>268</v>
      </c>
    </row>
    <row r="8" spans="2:17">
      <c r="B8" s="57" t="s">
        <v>86</v>
      </c>
      <c r="C8" s="234">
        <v>612</v>
      </c>
      <c r="D8" s="234">
        <v>0</v>
      </c>
      <c r="E8" s="234">
        <v>3556</v>
      </c>
      <c r="F8" s="234">
        <v>0</v>
      </c>
      <c r="G8" s="327">
        <v>25400</v>
      </c>
      <c r="H8" s="327">
        <v>5400</v>
      </c>
      <c r="I8" s="234">
        <v>30800</v>
      </c>
      <c r="J8" s="274">
        <v>0.2125984251968504</v>
      </c>
      <c r="L8" s="262" t="s">
        <v>60</v>
      </c>
      <c r="M8" s="266">
        <v>0.14914765278229405</v>
      </c>
      <c r="N8" s="267">
        <v>0.14708894016024823</v>
      </c>
      <c r="O8" s="257">
        <f>SUMPRODUCT(M8:N8,$M$6:$N$6)/$O$6</f>
        <v>0.1489913393084917</v>
      </c>
      <c r="Q8" s="25" t="s">
        <v>269</v>
      </c>
    </row>
    <row r="9" spans="2:17">
      <c r="B9" s="57" t="s">
        <v>74</v>
      </c>
      <c r="C9" s="234">
        <v>0</v>
      </c>
      <c r="D9" s="234">
        <v>0</v>
      </c>
      <c r="E9" s="234">
        <v>0</v>
      </c>
      <c r="F9" s="234">
        <v>0</v>
      </c>
      <c r="G9" s="327">
        <v>19400</v>
      </c>
      <c r="H9" s="327">
        <v>1600</v>
      </c>
      <c r="I9" s="234">
        <v>21000</v>
      </c>
      <c r="J9" s="274">
        <v>8.247422680412371E-2</v>
      </c>
      <c r="L9" s="262" t="s">
        <v>237</v>
      </c>
      <c r="M9" s="266">
        <v>1.1346493356798852E-2</v>
      </c>
      <c r="N9" s="267">
        <v>2.1136871126448869E-3</v>
      </c>
      <c r="O9" s="257">
        <f>SUMPRODUCT(M9:N9,$M$6:$N$6)/$O$6</f>
        <v>1.0645466899044177E-2</v>
      </c>
      <c r="Q9" s="25" t="s">
        <v>267</v>
      </c>
    </row>
    <row r="10" spans="2:17" ht="13.8" thickBot="1">
      <c r="B10" s="57" t="s">
        <v>51</v>
      </c>
      <c r="C10" s="234">
        <v>286</v>
      </c>
      <c r="D10" s="234">
        <v>0</v>
      </c>
      <c r="E10" s="234">
        <v>5754</v>
      </c>
      <c r="F10" s="234">
        <v>0</v>
      </c>
      <c r="G10" s="327">
        <v>9100</v>
      </c>
      <c r="H10" s="327">
        <v>1000</v>
      </c>
      <c r="I10" s="234">
        <v>10100</v>
      </c>
      <c r="J10" s="274">
        <v>0.10989010989010989</v>
      </c>
      <c r="L10" s="263" t="s">
        <v>238</v>
      </c>
      <c r="M10" s="268">
        <v>3.3306571222295391E-2</v>
      </c>
      <c r="N10" s="269">
        <v>4.2690528436859339E-2</v>
      </c>
      <c r="O10" s="258">
        <f>SUMPRODUCT(M10:N10,$M$6:$N$6)/$O$6</f>
        <v>3.4019074237292862E-2</v>
      </c>
      <c r="Q10" s="25" t="s">
        <v>266</v>
      </c>
    </row>
    <row r="11" spans="2:17">
      <c r="B11" s="57" t="s">
        <v>39</v>
      </c>
      <c r="C11" s="234">
        <v>242</v>
      </c>
      <c r="D11" s="234">
        <v>2960</v>
      </c>
      <c r="E11" s="234">
        <v>22</v>
      </c>
      <c r="F11" s="234">
        <v>0</v>
      </c>
      <c r="G11" s="327">
        <v>7000</v>
      </c>
      <c r="H11" s="327">
        <v>1300</v>
      </c>
      <c r="I11" s="234">
        <v>8300</v>
      </c>
      <c r="J11" s="274">
        <v>0.18571428571428572</v>
      </c>
    </row>
    <row r="12" spans="2:17">
      <c r="B12" s="57" t="s">
        <v>38</v>
      </c>
      <c r="C12" s="234">
        <v>245</v>
      </c>
      <c r="D12" s="234">
        <v>0</v>
      </c>
      <c r="E12" s="234">
        <v>251</v>
      </c>
      <c r="F12" s="234">
        <v>0</v>
      </c>
      <c r="G12" s="327">
        <v>6800</v>
      </c>
      <c r="H12" s="327">
        <v>0</v>
      </c>
      <c r="I12" s="234">
        <v>6800</v>
      </c>
      <c r="J12" s="274">
        <v>0</v>
      </c>
    </row>
    <row r="13" spans="2:17">
      <c r="B13" s="57" t="s">
        <v>36</v>
      </c>
      <c r="C13" s="234">
        <v>0</v>
      </c>
      <c r="D13" s="234">
        <v>0</v>
      </c>
      <c r="E13" s="234">
        <v>0</v>
      </c>
      <c r="F13" s="234">
        <v>0</v>
      </c>
      <c r="G13" s="327">
        <v>2000</v>
      </c>
      <c r="H13" s="327">
        <v>250</v>
      </c>
      <c r="I13" s="234">
        <v>2250</v>
      </c>
      <c r="J13" s="274">
        <v>0.125</v>
      </c>
    </row>
    <row r="14" spans="2:17">
      <c r="B14" s="57" t="s">
        <v>53</v>
      </c>
      <c r="C14" s="234">
        <v>0</v>
      </c>
      <c r="D14" s="234">
        <v>0</v>
      </c>
      <c r="E14" s="234">
        <v>0</v>
      </c>
      <c r="F14" s="234">
        <v>0</v>
      </c>
      <c r="G14" s="327">
        <v>1200</v>
      </c>
      <c r="H14" s="327">
        <v>0</v>
      </c>
      <c r="I14" s="234">
        <v>1200</v>
      </c>
      <c r="J14" s="274">
        <v>0</v>
      </c>
    </row>
    <row r="15" spans="2:17">
      <c r="B15" s="57" t="s">
        <v>44</v>
      </c>
      <c r="C15" s="234">
        <v>24</v>
      </c>
      <c r="D15" s="234">
        <v>0</v>
      </c>
      <c r="E15" s="234">
        <v>508</v>
      </c>
      <c r="F15" s="234">
        <v>1</v>
      </c>
      <c r="G15" s="327">
        <v>900</v>
      </c>
      <c r="H15" s="327">
        <v>0</v>
      </c>
      <c r="I15" s="234">
        <v>900</v>
      </c>
      <c r="J15" s="274">
        <v>0</v>
      </c>
    </row>
    <row r="16" spans="2:17">
      <c r="B16" s="57" t="s">
        <v>45</v>
      </c>
      <c r="C16" s="234">
        <v>492</v>
      </c>
      <c r="D16" s="234">
        <v>0</v>
      </c>
      <c r="E16" s="234">
        <v>279</v>
      </c>
      <c r="F16" s="234">
        <v>0</v>
      </c>
      <c r="G16" s="327">
        <v>400</v>
      </c>
      <c r="H16" s="327">
        <v>100</v>
      </c>
      <c r="I16" s="234">
        <v>500</v>
      </c>
      <c r="J16" s="274">
        <v>0.25</v>
      </c>
    </row>
    <row r="17" spans="2:10">
      <c r="B17" s="57" t="s">
        <v>48</v>
      </c>
      <c r="C17" s="234">
        <v>0</v>
      </c>
      <c r="D17" s="234">
        <v>0</v>
      </c>
      <c r="E17" s="234">
        <v>58</v>
      </c>
      <c r="F17" s="234">
        <v>42</v>
      </c>
      <c r="G17" s="327">
        <v>300</v>
      </c>
      <c r="H17" s="327">
        <v>0</v>
      </c>
      <c r="I17" s="234">
        <v>300</v>
      </c>
      <c r="J17" s="274">
        <v>0</v>
      </c>
    </row>
    <row r="18" spans="2:10">
      <c r="B18" s="57" t="s">
        <v>41</v>
      </c>
      <c r="C18" s="234">
        <v>0</v>
      </c>
      <c r="D18" s="234">
        <v>0</v>
      </c>
      <c r="E18" s="234">
        <v>0</v>
      </c>
      <c r="F18" s="234">
        <v>0</v>
      </c>
      <c r="G18" s="327">
        <v>1.0000000000000001E-9</v>
      </c>
      <c r="H18" s="327">
        <v>0</v>
      </c>
      <c r="I18" s="234">
        <v>1.0000000000000001E-9</v>
      </c>
      <c r="J18" s="274">
        <v>0</v>
      </c>
    </row>
    <row r="19" spans="2:10" ht="13.8" thickBot="1">
      <c r="B19" s="275" t="s">
        <v>118</v>
      </c>
      <c r="C19" s="270">
        <v>120725</v>
      </c>
      <c r="D19" s="270">
        <v>9149</v>
      </c>
      <c r="E19" s="270">
        <v>128512</v>
      </c>
      <c r="F19" s="270">
        <v>26576</v>
      </c>
      <c r="G19" s="328">
        <v>785600.00000000105</v>
      </c>
      <c r="H19" s="328">
        <v>64550</v>
      </c>
      <c r="I19" s="329">
        <v>850150.00000000105</v>
      </c>
      <c r="J19" s="330">
        <v>9.4287759097844731E-2</v>
      </c>
    </row>
    <row r="20" spans="2:10">
      <c r="F20"/>
      <c r="G20"/>
    </row>
    <row r="21" spans="2:10">
      <c r="F21"/>
      <c r="G21"/>
    </row>
    <row r="22" spans="2:10">
      <c r="F22"/>
      <c r="G22"/>
    </row>
    <row r="23" spans="2:10">
      <c r="F23"/>
      <c r="G23"/>
    </row>
    <row r="24" spans="2:10">
      <c r="F24"/>
      <c r="G24"/>
    </row>
    <row r="25" spans="2:10">
      <c r="F25"/>
      <c r="G25"/>
    </row>
    <row r="26" spans="2:10">
      <c r="F26"/>
      <c r="G26"/>
    </row>
    <row r="27" spans="2:10">
      <c r="F27"/>
      <c r="G27"/>
    </row>
    <row r="28" spans="2:10">
      <c r="F28"/>
      <c r="G28"/>
    </row>
    <row r="29" spans="2:10">
      <c r="F29"/>
      <c r="G29"/>
    </row>
    <row r="30" spans="2:10">
      <c r="F30"/>
      <c r="G30"/>
    </row>
    <row r="31" spans="2:10">
      <c r="F31"/>
      <c r="G31"/>
    </row>
    <row r="32" spans="2:10">
      <c r="F32"/>
      <c r="G32"/>
    </row>
    <row r="33" spans="6:11">
      <c r="F33"/>
      <c r="G33"/>
    </row>
    <row r="34" spans="6:11">
      <c r="F34"/>
      <c r="G34"/>
    </row>
    <row r="35" spans="6:11">
      <c r="F35"/>
      <c r="G35"/>
      <c r="K35" s="253"/>
    </row>
    <row r="36" spans="6:11">
      <c r="F36"/>
      <c r="G36"/>
      <c r="K36" s="254"/>
    </row>
    <row r="37" spans="6:11">
      <c r="F37"/>
      <c r="G37"/>
    </row>
    <row r="38" spans="6:11">
      <c r="F38"/>
      <c r="G38"/>
    </row>
    <row r="39" spans="6:11">
      <c r="F39"/>
      <c r="G39"/>
    </row>
    <row r="40" spans="6:11">
      <c r="F40"/>
      <c r="G40"/>
    </row>
    <row r="41" spans="6:11">
      <c r="F41"/>
      <c r="G41"/>
    </row>
    <row r="42" spans="6:11">
      <c r="F42"/>
      <c r="G42"/>
    </row>
    <row r="43" spans="6:11">
      <c r="F43"/>
      <c r="G43"/>
    </row>
    <row r="44" spans="6:11">
      <c r="F44"/>
      <c r="G44"/>
    </row>
    <row r="45" spans="6:11">
      <c r="F45"/>
      <c r="G45"/>
    </row>
    <row r="46" spans="6:11">
      <c r="F46"/>
      <c r="G46"/>
    </row>
    <row r="47" spans="6:11">
      <c r="F47"/>
      <c r="G47"/>
    </row>
    <row r="48" spans="6:11">
      <c r="F48"/>
      <c r="G48"/>
    </row>
    <row r="49" spans="6:7">
      <c r="F49"/>
      <c r="G49"/>
    </row>
    <row r="50" spans="6:7">
      <c r="F50"/>
      <c r="G50"/>
    </row>
    <row r="51" spans="6:7">
      <c r="F51"/>
      <c r="G51"/>
    </row>
    <row r="52" spans="6:7">
      <c r="F52"/>
      <c r="G52"/>
    </row>
    <row r="53" spans="6:7">
      <c r="F53"/>
      <c r="G53"/>
    </row>
    <row r="54" spans="6:7">
      <c r="F54"/>
      <c r="G54"/>
    </row>
    <row r="55" spans="6:7">
      <c r="F55"/>
      <c r="G55"/>
    </row>
    <row r="56" spans="6:7">
      <c r="F56"/>
      <c r="G56"/>
    </row>
    <row r="57" spans="6:7">
      <c r="F57"/>
      <c r="G57"/>
    </row>
    <row r="58" spans="6:7">
      <c r="F58"/>
      <c r="G58"/>
    </row>
    <row r="59" spans="6:7">
      <c r="F59"/>
      <c r="G59"/>
    </row>
    <row r="60" spans="6:7">
      <c r="F60"/>
      <c r="G60"/>
    </row>
    <row r="61" spans="6:7">
      <c r="F61"/>
      <c r="G61"/>
    </row>
    <row r="62" spans="6:7">
      <c r="F62"/>
      <c r="G62"/>
    </row>
    <row r="63" spans="6:7">
      <c r="F63"/>
      <c r="G63"/>
    </row>
    <row r="64" spans="6:7">
      <c r="F64"/>
      <c r="G64"/>
    </row>
    <row r="65" spans="6:7">
      <c r="F65"/>
      <c r="G6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8A80-7AD4-4A42-AE14-48FC49EE248E}">
  <sheetPr>
    <tabColor theme="7" tint="0.79998168889431442"/>
  </sheetPr>
  <dimension ref="A1:CK28"/>
  <sheetViews>
    <sheetView tabSelected="1" zoomScale="99" zoomScaleNormal="99" workbookViewId="0">
      <pane xSplit="9" ySplit="4" topLeftCell="AL5" activePane="bottomRight" state="frozen"/>
      <selection pane="topRight" activeCell="I1" sqref="I1"/>
      <selection pane="bottomLeft" activeCell="A5" sqref="A5"/>
      <selection pane="bottomRight" activeCell="AM11" sqref="AM11"/>
    </sheetView>
  </sheetViews>
  <sheetFormatPr defaultRowHeight="13.2" outlineLevelCol="1"/>
  <cols>
    <col min="1" max="1" width="7.88671875" customWidth="1"/>
    <col min="2" max="2" width="10.5546875" customWidth="1"/>
    <col min="3" max="3" width="16.109375" bestFit="1" customWidth="1"/>
    <col min="4" max="4" width="7" hidden="1" customWidth="1"/>
    <col min="5" max="5" width="10.5546875" customWidth="1"/>
    <col min="6" max="6" width="11.33203125" customWidth="1"/>
    <col min="7" max="7" width="10" customWidth="1"/>
    <col min="8" max="8" width="6.6640625" customWidth="1"/>
    <col min="9" max="9" width="10" customWidth="1"/>
    <col min="10" max="11" width="9.33203125" customWidth="1"/>
    <col min="12" max="14" width="10" customWidth="1"/>
    <col min="15" max="15" width="10" style="24" customWidth="1"/>
    <col min="16" max="16" width="10" customWidth="1"/>
    <col min="17" max="17" width="6.6640625" style="78" customWidth="1"/>
    <col min="18" max="18" width="10" customWidth="1"/>
    <col min="19" max="19" width="10" style="78" customWidth="1"/>
    <col min="20" max="20" width="9.21875" customWidth="1"/>
    <col min="21" max="21" width="9.21875" style="78" customWidth="1"/>
    <col min="22" max="22" width="9.88671875" customWidth="1"/>
    <col min="23" max="23" width="9.88671875" style="77" customWidth="1"/>
    <col min="24" max="30" width="10" customWidth="1"/>
    <col min="31" max="31" width="10" style="77" customWidth="1"/>
    <col min="32" max="32" width="10" customWidth="1"/>
    <col min="33" max="33" width="10" style="77" customWidth="1"/>
    <col min="34" max="34" width="10" customWidth="1"/>
    <col min="35" max="35" width="10" style="77" customWidth="1"/>
    <col min="36" max="38" width="9.88671875" style="77" customWidth="1"/>
    <col min="39" max="40" width="10.6640625" bestFit="1" customWidth="1"/>
    <col min="41" max="41" width="10.6640625" customWidth="1" outlineLevel="1"/>
    <col min="42" max="42" width="8.5546875" customWidth="1" outlineLevel="1"/>
    <col min="43" max="43" width="11.33203125" customWidth="1" outlineLevel="1"/>
    <col min="44" max="44" width="9" customWidth="1" outlineLevel="1"/>
    <col min="45" max="45" width="1.6640625" customWidth="1"/>
    <col min="46" max="46" width="13.88671875" customWidth="1"/>
    <col min="47" max="47" width="13.77734375" style="24" customWidth="1"/>
    <col min="48" max="48" width="13.6640625" style="24" customWidth="1"/>
    <col min="49" max="49" width="11.5546875" style="24" hidden="1" customWidth="1"/>
    <col min="50" max="50" width="8.6640625" style="153" customWidth="1"/>
    <col min="51" max="51" width="1.5546875" style="24" customWidth="1"/>
    <col min="52" max="52" width="18.44140625" hidden="1" customWidth="1" outlineLevel="1"/>
    <col min="53" max="53" width="15.21875" hidden="1" customWidth="1" outlineLevel="1"/>
    <col min="54" max="54" width="8.77734375" hidden="1" customWidth="1" outlineLevel="1"/>
    <col min="55" max="55" width="11" hidden="1" customWidth="1" outlineLevel="1"/>
    <col min="56" max="56" width="2.109375" hidden="1" customWidth="1" outlineLevel="1"/>
    <col min="57" max="57" width="19.33203125" hidden="1" customWidth="1" outlineLevel="1"/>
    <col min="58" max="58" width="15.21875" hidden="1" customWidth="1" outlineLevel="1"/>
    <col min="59" max="59" width="7.33203125" hidden="1" customWidth="1" outlineLevel="1"/>
    <col min="60" max="60" width="12" hidden="1" customWidth="1" outlineLevel="1"/>
    <col min="61" max="61" width="1.44140625" customWidth="1" collapsed="1"/>
    <col min="62" max="62" width="8.88671875" style="77" customWidth="1" outlineLevel="1"/>
    <col min="63" max="63" width="10" style="77" customWidth="1" outlineLevel="1"/>
    <col min="64" max="64" width="8.88671875" style="78"/>
    <col min="65" max="65" width="16.88671875" style="158" customWidth="1"/>
    <col min="66" max="67" width="12.33203125" customWidth="1" outlineLevel="1"/>
    <col min="68" max="68" width="13.44140625" customWidth="1" outlineLevel="1"/>
    <col min="70" max="70" width="11.5546875" customWidth="1" outlineLevel="1"/>
    <col min="71" max="71" width="12.77734375" customWidth="1" outlineLevel="1"/>
    <col min="73" max="73" width="13.109375" style="24" customWidth="1"/>
    <col min="74" max="75" width="15.77734375" style="24" customWidth="1"/>
    <col min="76" max="76" width="10.88671875" style="24" customWidth="1"/>
    <col min="77" max="77" width="14.109375" style="24" customWidth="1"/>
    <col min="78" max="78" width="1.44140625" style="490" customWidth="1"/>
    <col min="79" max="83" width="12.88671875" customWidth="1"/>
    <col min="84" max="84" width="10.88671875" customWidth="1" outlineLevel="1"/>
    <col min="85" max="85" width="9.77734375" customWidth="1" outlineLevel="1"/>
    <col min="86" max="86" width="9.77734375" customWidth="1"/>
    <col min="87" max="88" width="9.77734375" customWidth="1" outlineLevel="1"/>
  </cols>
  <sheetData>
    <row r="1" spans="1:89" ht="13.8" thickBot="1">
      <c r="I1" s="64" t="s">
        <v>140</v>
      </c>
      <c r="J1" s="64"/>
      <c r="K1" s="64"/>
      <c r="AO1" s="623"/>
      <c r="AP1" s="623"/>
      <c r="AQ1" s="623"/>
      <c r="AR1" s="246"/>
      <c r="AS1" s="3"/>
      <c r="AT1" s="3"/>
      <c r="AU1" s="85">
        <f>VLOOKUP('Hypotesis Panel'!$G$8,'Hypotesis Panel'!$C$15:$E$41,3,FALSE)</f>
        <v>0.65</v>
      </c>
      <c r="BN1" s="424"/>
      <c r="BO1" s="424"/>
      <c r="BP1" s="457" t="s">
        <v>303</v>
      </c>
      <c r="BQ1" s="457"/>
      <c r="BR1" s="458"/>
    </row>
    <row r="2" spans="1:89" s="26" customFormat="1" ht="13.5" customHeight="1" thickBot="1">
      <c r="A2"/>
      <c r="B2" s="83" t="s">
        <v>141</v>
      </c>
      <c r="C2" s="84"/>
      <c r="D2" s="84"/>
      <c r="E2" s="84"/>
      <c r="F2" s="79">
        <f>SUM(F5:F27)</f>
        <v>147421010.31200007</v>
      </c>
      <c r="G2" s="81">
        <f>SUM(G5:G27)</f>
        <v>2441900</v>
      </c>
      <c r="H2" s="81"/>
      <c r="I2" s="80">
        <f>SUMPRODUCT(I5:I27,F5:F27)/SUM(F5:F27)</f>
        <v>60.745906140050309</v>
      </c>
      <c r="J2" s="81">
        <f>SUM(J5:J27)</f>
        <v>2241257.6311099795</v>
      </c>
      <c r="K2" s="81">
        <f>SUM(K5:K27)</f>
        <v>200642.36889002012</v>
      </c>
      <c r="L2" s="377">
        <f t="shared" ref="L2:AO2" si="0">SUM(L5:L27)</f>
        <v>79543185.971000001</v>
      </c>
      <c r="M2" s="378">
        <f t="shared" si="0"/>
        <v>1155142</v>
      </c>
      <c r="N2" s="378">
        <f>SUM(N5:N27)</f>
        <v>1141982</v>
      </c>
      <c r="O2" s="396">
        <f>SUMPRODUCT(Table1[Actual ASP Shoes per channel],Table1[Net Sales Units])/SUM(Table1[Net Sales Units])</f>
        <v>69.653624987959532</v>
      </c>
      <c r="P2" s="247">
        <f t="shared" si="0"/>
        <v>111458</v>
      </c>
      <c r="Q2" s="379">
        <f>SUMPRODUCT(Table1[Can%],Table1[Pre-Orders Invoiced (units)])/SUM(Table1[Pre-Orders Invoiced (units)])</f>
        <v>9.6488570236386517E-2</v>
      </c>
      <c r="R2" s="247">
        <f t="shared" si="0"/>
        <v>97267</v>
      </c>
      <c r="S2" s="379"/>
      <c r="T2" s="247">
        <f t="shared" si="0"/>
        <v>27786</v>
      </c>
      <c r="U2" s="379"/>
      <c r="V2" s="247">
        <f t="shared" si="0"/>
        <v>-26755</v>
      </c>
      <c r="W2" s="380"/>
      <c r="X2" s="79">
        <f t="shared" si="0"/>
        <v>7396255.5252</v>
      </c>
      <c r="Y2" s="79">
        <f t="shared" si="0"/>
        <v>166045.44</v>
      </c>
      <c r="Z2" s="80">
        <f>SUMPRODUCT(Z5:Z27,X5:X27)/SUM(X5:X27)</f>
        <v>45.24227989069076</v>
      </c>
      <c r="AA2" s="79">
        <f t="shared" si="0"/>
        <v>155592.14000000001</v>
      </c>
      <c r="AB2" s="82">
        <f t="shared" si="0"/>
        <v>14817.2</v>
      </c>
      <c r="AC2" s="82"/>
      <c r="AD2" s="82">
        <f t="shared" si="0"/>
        <v>3277.5</v>
      </c>
      <c r="AE2" s="363"/>
      <c r="AF2" s="82">
        <f t="shared" si="0"/>
        <v>27786</v>
      </c>
      <c r="AG2" s="363"/>
      <c r="AH2" s="82">
        <f t="shared" si="0"/>
        <v>-5793</v>
      </c>
      <c r="AI2" s="363"/>
      <c r="AJ2" s="363"/>
      <c r="AK2" s="363"/>
      <c r="AL2" s="508">
        <f>SUM(Table1[Net Sales EUR)])</f>
        <v>86939441.49620001</v>
      </c>
      <c r="AM2" s="82">
        <f t="shared" si="0"/>
        <v>748800</v>
      </c>
      <c r="AN2" s="82">
        <f t="shared" si="0"/>
        <v>100381</v>
      </c>
      <c r="AO2" s="247">
        <f t="shared" si="0"/>
        <v>1141982</v>
      </c>
      <c r="AP2" s="248">
        <f>SUMPRODUCT(AP5:AP27,Table1[Actual Net Sales(units) Shoes])/SUM(Table1[Actual Net Sales(units) Shoes])</f>
        <v>69.653624987959532</v>
      </c>
      <c r="AQ2" s="247">
        <f>SUM(AQ5:AQ27)</f>
        <v>166045.44</v>
      </c>
      <c r="AR2" s="248">
        <f>SUMPRODUCT(AR5:AR27,Table1[Actual Net Sales(units) Shoes])/SUM(Table1[Actual Net Sales(units) Shoes])</f>
        <v>39.06317317413037</v>
      </c>
      <c r="AS2" s="3"/>
      <c r="AT2" s="104">
        <f>SUM(AT5:AT27)</f>
        <v>86939441.49620001</v>
      </c>
      <c r="AU2" s="90">
        <f>SUM(AU5:AU27)</f>
        <v>95823656.702799991</v>
      </c>
      <c r="AV2" s="362">
        <f>(L2+X2)/AU2-1</f>
        <v>-9.2714216011967276E-2</v>
      </c>
      <c r="AW2" s="24"/>
      <c r="AX2" s="153"/>
      <c r="AY2" s="24"/>
      <c r="AZ2" s="90">
        <f>SUM(AZ5:AZ27)</f>
        <v>87950162.507069707</v>
      </c>
      <c r="BA2" s="358">
        <f>L2/AZ2-1</f>
        <v>-9.5587959094378339E-2</v>
      </c>
      <c r="BB2" s="106">
        <f>AZ2/AT2</f>
        <v>1.0116255751529515</v>
      </c>
      <c r="BC2" s="361">
        <f>BB2*BA2*10000</f>
        <v>-966.99224096547289</v>
      </c>
      <c r="BD2"/>
      <c r="BE2" s="90">
        <f>SUM(BE5:BE27)</f>
        <v>7873494.1957303118</v>
      </c>
      <c r="BF2" s="359">
        <f>X2/BE2-1</f>
        <v>-6.0613326010846791E-2</v>
      </c>
      <c r="BG2" s="106">
        <f>BE2/AU2</f>
        <v>8.2166496945010103E-2</v>
      </c>
      <c r="BH2" s="360">
        <f>BG2*BF2*10000</f>
        <v>-49.803846664971438</v>
      </c>
      <c r="BI2"/>
      <c r="BJ2" s="410"/>
      <c r="BK2" s="410"/>
      <c r="BL2" s="414"/>
      <c r="BM2" s="473"/>
      <c r="BN2" s="421">
        <v>0.56999999999999995</v>
      </c>
      <c r="BO2" s="421"/>
      <c r="BP2" s="255" t="s">
        <v>341</v>
      </c>
      <c r="BQ2" s="422">
        <v>1</v>
      </c>
      <c r="BR2" s="423" t="s">
        <v>304</v>
      </c>
      <c r="BU2" s="64"/>
      <c r="BV2" s="64"/>
      <c r="BW2" s="64"/>
      <c r="BX2" s="64"/>
      <c r="BY2" s="64"/>
      <c r="BZ2" s="491"/>
    </row>
    <row r="3" spans="1:89" ht="13.8" thickBot="1">
      <c r="B3" s="4"/>
      <c r="C3" s="4"/>
      <c r="D3" s="2"/>
      <c r="E3" s="2"/>
      <c r="F3" s="632" t="s">
        <v>20</v>
      </c>
      <c r="G3" s="633"/>
      <c r="H3" s="633"/>
      <c r="I3" s="633"/>
      <c r="J3" s="633"/>
      <c r="K3" s="634"/>
      <c r="L3" s="626" t="s">
        <v>21</v>
      </c>
      <c r="M3" s="627"/>
      <c r="N3" s="627"/>
      <c r="O3" s="627"/>
      <c r="P3" s="627"/>
      <c r="Q3" s="627"/>
      <c r="R3" s="627"/>
      <c r="S3" s="627"/>
      <c r="T3" s="627"/>
      <c r="U3" s="627"/>
      <c r="V3" s="627"/>
      <c r="W3" s="628"/>
      <c r="X3" s="629" t="s">
        <v>22</v>
      </c>
      <c r="Y3" s="630"/>
      <c r="Z3" s="630"/>
      <c r="AA3" s="630"/>
      <c r="AB3" s="630"/>
      <c r="AC3" s="630"/>
      <c r="AD3" s="630"/>
      <c r="AE3" s="630"/>
      <c r="AF3" s="630"/>
      <c r="AG3" s="630"/>
      <c r="AH3" s="630"/>
      <c r="AI3" s="631"/>
      <c r="AJ3" s="621" t="s">
        <v>300</v>
      </c>
      <c r="AK3" s="622"/>
      <c r="AL3" s="622"/>
      <c r="AM3" s="507" t="s">
        <v>23</v>
      </c>
      <c r="AN3" s="476" t="s">
        <v>24</v>
      </c>
      <c r="AO3" s="624" t="s">
        <v>219</v>
      </c>
      <c r="AP3" s="624"/>
      <c r="AQ3" s="624"/>
      <c r="AR3" s="625"/>
      <c r="AS3" s="3"/>
      <c r="AT3" s="64"/>
      <c r="AZ3" s="25" t="s">
        <v>151</v>
      </c>
      <c r="BM3" s="473"/>
      <c r="BO3" s="518"/>
      <c r="BP3" s="26" t="s">
        <v>302</v>
      </c>
      <c r="BU3" s="620"/>
      <c r="BV3" s="620"/>
      <c r="BW3" s="620"/>
      <c r="BX3" s="620"/>
      <c r="BY3" s="620"/>
      <c r="CA3" s="234">
        <f>SUM(Table1[[Shoes Available Q2 Stock Current Season ]])</f>
        <v>973441</v>
      </c>
      <c r="CB3" s="234">
        <f>SUM(Table1[Shoes Available Q2 Stock Old Season])</f>
        <v>584065</v>
      </c>
      <c r="CC3" s="234">
        <f>SUM(Table1[Avg Apparel Q1 Weekly Sales2])</f>
        <v>11860.388571428573</v>
      </c>
      <c r="CD3" s="234">
        <f>SUM(Table1[Apparel Q2 Available Stock Current Season 2])</f>
        <v>145551</v>
      </c>
      <c r="CE3" s="234">
        <f>SUM(Table1[Apparel Q2Available Stock Old Season3])</f>
        <v>40753</v>
      </c>
    </row>
    <row r="4" spans="1:89" s="63" customFormat="1" ht="51.6" thickBot="1">
      <c r="A4" s="129" t="s">
        <v>26</v>
      </c>
      <c r="B4" s="121" t="s">
        <v>27</v>
      </c>
      <c r="C4" s="121" t="s">
        <v>28</v>
      </c>
      <c r="D4" s="472" t="s">
        <v>328</v>
      </c>
      <c r="E4" s="121" t="s">
        <v>172</v>
      </c>
      <c r="F4" s="69" t="s">
        <v>127</v>
      </c>
      <c r="G4" s="69" t="s">
        <v>25</v>
      </c>
      <c r="H4" s="86" t="s">
        <v>327</v>
      </c>
      <c r="I4" s="86" t="s">
        <v>119</v>
      </c>
      <c r="J4" s="376" t="s">
        <v>296</v>
      </c>
      <c r="K4" s="376" t="s">
        <v>297</v>
      </c>
      <c r="L4" s="144" t="s">
        <v>126</v>
      </c>
      <c r="M4" s="69" t="s">
        <v>120</v>
      </c>
      <c r="N4" s="69" t="s">
        <v>285</v>
      </c>
      <c r="O4" s="395" t="s">
        <v>286</v>
      </c>
      <c r="P4" s="69" t="s">
        <v>121</v>
      </c>
      <c r="Q4" s="364" t="s">
        <v>275</v>
      </c>
      <c r="R4" s="69" t="s">
        <v>122</v>
      </c>
      <c r="S4" s="364" t="s">
        <v>276</v>
      </c>
      <c r="T4" s="69" t="s">
        <v>123</v>
      </c>
      <c r="U4" s="364" t="s">
        <v>277</v>
      </c>
      <c r="V4" s="69" t="s">
        <v>124</v>
      </c>
      <c r="W4" s="373" t="s">
        <v>278</v>
      </c>
      <c r="X4" s="386" t="s">
        <v>154</v>
      </c>
      <c r="Y4" s="399" t="s">
        <v>287</v>
      </c>
      <c r="Z4" s="395" t="s">
        <v>299</v>
      </c>
      <c r="AA4" s="387" t="s">
        <v>155</v>
      </c>
      <c r="AB4" s="387" t="s">
        <v>156</v>
      </c>
      <c r="AC4" s="388" t="s">
        <v>282</v>
      </c>
      <c r="AD4" s="387" t="s">
        <v>157</v>
      </c>
      <c r="AE4" s="389" t="s">
        <v>279</v>
      </c>
      <c r="AF4" s="387" t="s">
        <v>158</v>
      </c>
      <c r="AG4" s="389" t="s">
        <v>280</v>
      </c>
      <c r="AH4" s="387" t="s">
        <v>159</v>
      </c>
      <c r="AI4" s="390" t="s">
        <v>281</v>
      </c>
      <c r="AJ4" s="411" t="s">
        <v>283</v>
      </c>
      <c r="AK4" s="411" t="s">
        <v>298</v>
      </c>
      <c r="AL4" s="503" t="s">
        <v>345</v>
      </c>
      <c r="AM4" s="144" t="s">
        <v>125</v>
      </c>
      <c r="AN4" s="145" t="s">
        <v>160</v>
      </c>
      <c r="AO4" s="557" t="s">
        <v>222</v>
      </c>
      <c r="AP4" s="558" t="s">
        <v>220</v>
      </c>
      <c r="AQ4" s="559" t="s">
        <v>223</v>
      </c>
      <c r="AR4" s="559" t="s">
        <v>221</v>
      </c>
      <c r="AS4" s="3" t="s">
        <v>169</v>
      </c>
      <c r="AT4" s="88" t="s">
        <v>148</v>
      </c>
      <c r="AU4" s="88" t="s">
        <v>143</v>
      </c>
      <c r="AV4" s="89" t="s">
        <v>142</v>
      </c>
      <c r="AW4" s="89" t="s">
        <v>152</v>
      </c>
      <c r="AX4" s="154" t="s">
        <v>153</v>
      </c>
      <c r="AY4" s="416" t="s">
        <v>168</v>
      </c>
      <c r="AZ4" s="105" t="s">
        <v>149</v>
      </c>
      <c r="BA4" s="109" t="s">
        <v>161</v>
      </c>
      <c r="BB4" s="110" t="s">
        <v>162</v>
      </c>
      <c r="BC4" s="112" t="s">
        <v>163</v>
      </c>
      <c r="BD4" t="s">
        <v>164</v>
      </c>
      <c r="BE4" s="114" t="s">
        <v>150</v>
      </c>
      <c r="BF4" s="111" t="s">
        <v>165</v>
      </c>
      <c r="BG4" s="110" t="s">
        <v>166</v>
      </c>
      <c r="BH4" s="113" t="s">
        <v>167</v>
      </c>
      <c r="BI4" s="415" t="s">
        <v>301</v>
      </c>
      <c r="BJ4" s="553" t="s">
        <v>292</v>
      </c>
      <c r="BK4" s="554" t="s">
        <v>293</v>
      </c>
      <c r="BL4" s="429" t="s">
        <v>294</v>
      </c>
      <c r="BM4" s="509" t="s">
        <v>333</v>
      </c>
      <c r="BN4" s="513" t="s">
        <v>305</v>
      </c>
      <c r="BO4" s="510" t="s">
        <v>334</v>
      </c>
      <c r="BP4" s="517" t="s">
        <v>306</v>
      </c>
      <c r="BQ4" s="428" t="s">
        <v>307</v>
      </c>
      <c r="BR4" s="556" t="s">
        <v>342</v>
      </c>
      <c r="BS4" s="555" t="s">
        <v>308</v>
      </c>
      <c r="BT4" s="439" t="s">
        <v>309</v>
      </c>
      <c r="BU4" s="477" t="s">
        <v>310</v>
      </c>
      <c r="BV4" s="496" t="s">
        <v>314</v>
      </c>
      <c r="BW4" s="496" t="s">
        <v>347</v>
      </c>
      <c r="BX4" s="499" t="s">
        <v>311</v>
      </c>
      <c r="BY4" s="500" t="s">
        <v>315</v>
      </c>
      <c r="BZ4" s="490" t="s">
        <v>171</v>
      </c>
      <c r="CA4" s="487" t="s">
        <v>329</v>
      </c>
      <c r="CB4" s="492" t="s">
        <v>330</v>
      </c>
      <c r="CC4" s="495" t="s">
        <v>346</v>
      </c>
      <c r="CD4" s="488" t="s">
        <v>331</v>
      </c>
      <c r="CE4" s="489" t="s">
        <v>332</v>
      </c>
      <c r="CF4" s="486" t="s">
        <v>335</v>
      </c>
      <c r="CG4" s="487" t="s">
        <v>336</v>
      </c>
      <c r="CH4" s="487" t="s">
        <v>339</v>
      </c>
      <c r="CI4" s="488" t="s">
        <v>337</v>
      </c>
      <c r="CJ4" s="488" t="s">
        <v>338</v>
      </c>
      <c r="CK4" s="489" t="s">
        <v>340</v>
      </c>
    </row>
    <row r="5" spans="1:89">
      <c r="A5" s="130" t="s">
        <v>29</v>
      </c>
      <c r="B5" s="122" t="s">
        <v>30</v>
      </c>
      <c r="C5" s="565" t="s">
        <v>31</v>
      </c>
      <c r="D5" s="565" t="str">
        <f>_xlfn.CONCAT(Table1[[#This Row],[Sub Region]:[Account]])</f>
        <v>CentralGermanyField Accounts</v>
      </c>
      <c r="E5" s="565" t="str">
        <f>_xlfn.IFNA(VLOOKUP(Table1[[#This Row],[Account]],'Account Information'!$A$4:$B$18,2,FALSE),"")</f>
        <v>Field Accounts</v>
      </c>
      <c r="F5" s="566">
        <v>36200171</v>
      </c>
      <c r="G5" s="123">
        <v>574000</v>
      </c>
      <c r="H5" s="374">
        <f>Table1[[#This Row],[Units]]/$G$2</f>
        <v>0.2350628608870142</v>
      </c>
      <c r="I5" s="142">
        <f t="shared" ref="I5:I27" si="1">F5/G5</f>
        <v>63.066499999999998</v>
      </c>
      <c r="J5" s="406">
        <f>Table1[[#This Row],[Units]]*(1-'Hypotesis Panel'!$F$46)</f>
        <v>526836.43075356423</v>
      </c>
      <c r="K5" s="406">
        <f>Table1[[#This Row],[Units]]-Table1[[#This Row],[Shoe Budget Units]]</f>
        <v>47163.569246435771</v>
      </c>
      <c r="L5" s="146">
        <v>20914156.900000006</v>
      </c>
      <c r="M5" s="123">
        <v>279800</v>
      </c>
      <c r="N5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299000</v>
      </c>
      <c r="O5" s="397">
        <f>Table1[[#This Row],[Net Sales (€)]]/Table1[[#This Row],[Net Sales Units]]</f>
        <v>69.947013043478279</v>
      </c>
      <c r="P5" s="125">
        <v>13700</v>
      </c>
      <c r="Q5" s="365">
        <f>Table1[[#This Row],[Cancellations (units)]]/Table1[[#This Row],[Pre-Orders Invoiced (units)]]</f>
        <v>4.8963545389563976E-2</v>
      </c>
      <c r="R5" s="123">
        <v>34200</v>
      </c>
      <c r="S5" s="370">
        <f>Table1[[#This Row],[Re-Orders Invoiced (units)]]/Table1[[#This Row],[Pre-Orders Invoiced (units)]]</f>
        <v>0.1222301644031451</v>
      </c>
      <c r="T5" s="123">
        <v>4300</v>
      </c>
      <c r="U5" s="370">
        <f>Table1[[#This Row],[Stock Clearance Invoiced (units)]]/Table1[[#This Row],[Pre-Orders Invoiced (units)]]</f>
        <v>1.5368120085775554E-2</v>
      </c>
      <c r="V5" s="123">
        <v>-5600</v>
      </c>
      <c r="W5" s="374">
        <f>Table1[[#This Row],[Returns Processed (units)]]/Table1[[#This Row],[Pre-Orders Invoiced (units)]]</f>
        <v>-2.0014295925661188E-2</v>
      </c>
      <c r="X5" s="356">
        <v>1932331.324</v>
      </c>
      <c r="Y5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42160</v>
      </c>
      <c r="Z5" s="143">
        <f>Table1[[#This Row],[Net Sales (€)2]]/Table1[[#This Row],[Net Sales (Units0]]</f>
        <v>45.833285673624289</v>
      </c>
      <c r="AA5" s="123">
        <v>41970</v>
      </c>
      <c r="AB5" s="125">
        <v>3456</v>
      </c>
      <c r="AC5" s="365">
        <f>IFERROR(Table1[[#This Row],[Cancellations (units)4]]/Table1[[#This Row],[Pre-Orders Invoiced (units)3]],0)</f>
        <v>8.2344531808434596E-2</v>
      </c>
      <c r="AD5" s="123">
        <v>546</v>
      </c>
      <c r="AE5" s="368">
        <f>IFERROR(Table1[[#This Row],[Re-Orders Invoiced (units)5]]/Table1[[#This Row],[Pre-Orders Invoiced (units)3]],0)</f>
        <v>1.3009292351679771E-2</v>
      </c>
      <c r="AF5" s="123">
        <v>4300</v>
      </c>
      <c r="AG5" s="368">
        <f>IFERROR(Table1[[#This Row],[Stock Clearance Invoiced (units)6]]/Table1[[#This Row],[Pre-Orders Invoiced (units)3]],0)</f>
        <v>0.10245413390517036</v>
      </c>
      <c r="AH5" s="123">
        <v>-1200</v>
      </c>
      <c r="AI5" s="381">
        <f>IFERROR(Table1[[#This Row],[Returns Processed (units)7]]/Table1[[#This Row],[Pre-Orders Invoiced (units)3]],0)</f>
        <v>-2.8591851322373123E-2</v>
      </c>
      <c r="AJ5" s="393">
        <f>Table1[[#This Row],[Net Sales (€)2]]/Table1[[#This Row],[Net Sales (€)]]</f>
        <v>9.239346024032169E-2</v>
      </c>
      <c r="AK5" s="412">
        <f>Table1[[#This Row],[Net Sales (Units0]]+Table1[[#This Row],[Net Sales Units]]</f>
        <v>341160</v>
      </c>
      <c r="AL5" s="504">
        <f>Table1[[#This Row],[Net Sales (€)2]]+Table1[[#This Row],[Net Sales (€)]]</f>
        <v>22846488.224000007</v>
      </c>
      <c r="AM5" s="356">
        <v>115000</v>
      </c>
      <c r="AN5" s="147">
        <v>20342</v>
      </c>
      <c r="AO5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299000</v>
      </c>
      <c r="AP5" s="245">
        <f>Table1[[#This Row],[Net Sales (€)]]/AO5</f>
        <v>69.947013043478279</v>
      </c>
      <c r="AQ5" s="123">
        <f>AA5-+AB5+Table1[[#This Row],[Re-Orders Invoiced (units)5]]+AF5+AH5</f>
        <v>42160</v>
      </c>
      <c r="AR5" s="123">
        <f>IFERROR(Table1[[#This Row],[Net Sales (€)2]]/AQ5,"")</f>
        <v>45.833285673624289</v>
      </c>
      <c r="AS5" s="3"/>
      <c r="AT5" s="103">
        <f t="shared" ref="AT5:AT27" si="2">L5+X5</f>
        <v>22846488.224000007</v>
      </c>
      <c r="AU5" s="103">
        <f t="shared" ref="AU5:AU27" si="3">F5*$AU$1</f>
        <v>23530111.150000002</v>
      </c>
      <c r="AV5" s="92">
        <f t="shared" ref="AV5:AV27" si="4">AT5/AU5-1</f>
        <v>-2.905311078396644E-2</v>
      </c>
      <c r="AW5" s="106">
        <f t="shared" ref="AW5:AW27" si="5">AU5/$AU$2</f>
        <v>0.24555638930561127</v>
      </c>
      <c r="AX5" s="155">
        <f t="shared" ref="AX5:AX27" si="6">ROUND(AW5*AV5*10000,0)</f>
        <v>-71</v>
      </c>
      <c r="AZ5" s="107">
        <f>AU5*(1-'SS24 Q2 Data'!$AB$5)</f>
        <v>21596724.344077777</v>
      </c>
      <c r="BA5" s="92">
        <f t="shared" ref="BA5:BA27" si="7">L5/AZ5-1</f>
        <v>-3.1605137575640874E-2</v>
      </c>
      <c r="BB5" s="106">
        <f t="shared" ref="BB5:BB27" si="8">AZ5/$AZ$2</f>
        <v>0.24555638930561119</v>
      </c>
      <c r="BC5" s="115">
        <f t="shared" ref="BC5:BC27" si="9">BB5*BA5*10000</f>
        <v>-77.608434665814713</v>
      </c>
      <c r="BE5" s="107">
        <f>AU5*'SS24 Q2 Data'!$AB$5</f>
        <v>1933386.8059222228</v>
      </c>
      <c r="BF5" s="92">
        <f t="shared" ref="BF5:BF27" si="10">X5/BE5-1</f>
        <v>-5.459238259978294E-4</v>
      </c>
      <c r="BG5" s="106">
        <f t="shared" ref="BG5:BG27" si="11">BE5/$BE$2</f>
        <v>0.24555638930561122</v>
      </c>
      <c r="BH5" s="118">
        <f t="shared" ref="BH5:BH27" si="12">BG5*BF5*10000</f>
        <v>-1.3405508354793176</v>
      </c>
      <c r="BI5" s="118"/>
      <c r="BJ5" s="453">
        <f>Table1[[#This Row],[Net Sales Units]]/Table1[[#This Row],[Shoe Budget Units]]</f>
        <v>0.56753858037555072</v>
      </c>
      <c r="BK5" s="430">
        <f>Table1[[#This Row],[Net Sales (Units0]]/Table1[[#This Row],[Apparel Budget Units]]</f>
        <v>0.89391029291503632</v>
      </c>
      <c r="BL5" s="511">
        <f>Table1[[#This Row],[Net Sales Units total]]/Table1[[#This Row],[Units]]</f>
        <v>0.5943554006968641</v>
      </c>
      <c r="BM5" s="493">
        <f>ROUND(Table1[[#This Row],[Net Sales Units]]/'Hypotesis Panel'!$G$8,0)</f>
        <v>21357</v>
      </c>
      <c r="BN5" s="426">
        <f>ROUND('Hypotesis Panel'!$G$8/Table1[[#This Row],[ST% Shoes]],0)</f>
        <v>25</v>
      </c>
      <c r="BO5" s="482">
        <f>Table1[[#This Row],[Net Sales (Units0]]/'Hypotesis Panel'!$G$8</f>
        <v>3011.4285714285716</v>
      </c>
      <c r="BP5" s="432">
        <f>IFERROR(ROUND('Hypotesis Panel'!$G$8/Table1[[#This Row],[ST% Apparel]],0),"NoStock")</f>
        <v>16</v>
      </c>
      <c r="BQ5" s="514">
        <f>IFERROR(ROUND('Hypotesis Panel'!$G$8/Table1[[#This Row],[ST% ToTal]],0),"")</f>
        <v>24</v>
      </c>
      <c r="BR5" s="437">
        <f>Table1[[#This Row],[Expected WoOS Shoes]]-'Hypotesis Panel'!$G$8</f>
        <v>11</v>
      </c>
      <c r="BS5" s="437">
        <f>IFERROR(Table1[[#This Row],[Expected WoOS Apparel]]-'Hypotesis Panel'!$G$8,"")</f>
        <v>2</v>
      </c>
      <c r="BT5" s="438">
        <f>Table1[[#This Row],[Expected WoOS Total]]-'Hypotesis Panel'!$G$8</f>
        <v>10</v>
      </c>
      <c r="BU5" s="478">
        <f>Table1[[#This Row],[WOCoverage Shoes]]+'Hypotesis Panel'!$G$8-'Hypotesis Panel'!$F$3</f>
        <v>-1</v>
      </c>
      <c r="BV5" s="497" t="str">
        <f>_xlfn.XLOOKUP(Table1[[#This Row],[WOS at WK26 Shoes]],Table2[Lower Bound],Table2[Action],,-1)</f>
        <v>Stock Out Risk</v>
      </c>
      <c r="BW5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-1493858.3575695655</v>
      </c>
      <c r="BX5" s="71">
        <f>Table1[[#This Row],[WOC Apparel]]+'Hypotesis Panel'!$G$8-'Hypotesis Panel'!$F$3</f>
        <v>-10</v>
      </c>
      <c r="BY5" s="479" t="str">
        <f>_xlfn.XLOOKUP(Table1[[#This Row],[WOS at WK26 Apparel]],Table2[Lower Bound],Table2[Action],,-1)</f>
        <v>Stock Out Risk</v>
      </c>
      <c r="CA5" s="285">
        <f>ROUND(Table1[[#This Row],[% Budget share]]*'Available Stock'!$H$6,0)</f>
        <v>228820</v>
      </c>
      <c r="CB5" s="475">
        <f>ROUND(Table1[[#This Row],[% Budget share]]*'Available Stock'!$I$6,0)</f>
        <v>137292</v>
      </c>
      <c r="CC5" s="482">
        <f>Table1[[#This Row],[Net Sales (Units0]]/'Hypotesis Panel'!$G$8</f>
        <v>3011.4285714285716</v>
      </c>
      <c r="CD5" s="285">
        <f>ROUND(Table1[[#This Row],[% Budget share]]*'Available Stock'!$H$7,0)</f>
        <v>34214</v>
      </c>
      <c r="CE5" s="475">
        <f>ROUND(Table1[[#This Row],[% Budget share]]*'Available Stock'!$I$7,0)</f>
        <v>9580</v>
      </c>
      <c r="CF5" s="482" t="e">
        <f>Table1[[#This Row],[Shoes Available Q2 Stock Current Season ]]/#REF!</f>
        <v>#REF!</v>
      </c>
      <c r="CG5" s="285" t="e">
        <f>Table1[[#This Row],[Shoes Available Q2 Stock Old Season]]/#REF!</f>
        <v>#REF!</v>
      </c>
      <c r="CH5" s="285" t="e">
        <f>SUM(Table1[[#This Row],[Q2 Shoes New Stock WOC based on Q1 Sales Velocity]:[Q2 Shoes Old Stock WOC based on Q1 Sales Velocity]])</f>
        <v>#REF!</v>
      </c>
      <c r="CI5" s="285">
        <f>IFERROR(Table1[[#This Row],[Apparel Q2 Available Stock Current Season 2]]/Table1[[#This Row],[Avg Apparel Q1 Weekly Sales2]],"")</f>
        <v>11.361385199240987</v>
      </c>
      <c r="CJ5" s="285">
        <f>IFERROR(Table1[[#This Row],[Apparel Q2Available Stock Old Season3]]/Table1[[#This Row],[Avg Apparel Q1 Weekly Sales2]],"")</f>
        <v>3.1812144212523719</v>
      </c>
      <c r="CK5" s="475">
        <f>SUM(Table1[[#This Row],[Q2 Apparel New Stock WOC based on Q1 Sales Velocity]:[Q2 Apparel Old Stock WOC based on Q1 Sales Velocity]])</f>
        <v>14.542599620493359</v>
      </c>
    </row>
    <row r="6" spans="1:89">
      <c r="A6" s="130" t="s">
        <v>50</v>
      </c>
      <c r="B6" s="122" t="s">
        <v>50</v>
      </c>
      <c r="C6" s="127" t="s">
        <v>54</v>
      </c>
      <c r="D6" s="127" t="str">
        <f>_xlfn.CONCAT(Table1[[#This Row],[Sub Region]:[Account]])</f>
        <v>EuropeEuropeScale</v>
      </c>
      <c r="E6" s="127" t="str">
        <f>_xlfn.IFNA(VLOOKUP(Table1[[#This Row],[Account]],'Account Information'!$A$4:$B$18,2,FALSE),"")</f>
        <v>Lifestyle</v>
      </c>
      <c r="F6" s="124">
        <v>25799200</v>
      </c>
      <c r="G6" s="123">
        <v>476000</v>
      </c>
      <c r="H6" s="374">
        <f>Table1[[#This Row],[Units]]/$G$2</f>
        <v>0.19493017732093862</v>
      </c>
      <c r="I6" s="142">
        <f t="shared" si="1"/>
        <v>54.2</v>
      </c>
      <c r="J6" s="406">
        <f>Table1[[#This Row],[Units]]*(1-'Hypotesis Panel'!$F$46)</f>
        <v>436888.7474541752</v>
      </c>
      <c r="K6" s="406">
        <f>Table1[[#This Row],[Units]]-Table1[[#This Row],[Shoe Budget Units]]</f>
        <v>39111.252545824798</v>
      </c>
      <c r="L6" s="146">
        <v>12384334.199999999</v>
      </c>
      <c r="M6" s="123">
        <v>205000</v>
      </c>
      <c r="N6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184300</v>
      </c>
      <c r="O6" s="397">
        <f>Table1[[#This Row],[Net Sales (€)]]/Table1[[#This Row],[Net Sales Units]]</f>
        <v>67.196604449267497</v>
      </c>
      <c r="P6" s="125">
        <v>30000</v>
      </c>
      <c r="Q6" s="366">
        <f>Table1[[#This Row],[Cancellations (units)]]/Table1[[#This Row],[Pre-Orders Invoiced (units)]]</f>
        <v>0.14634146341463414</v>
      </c>
      <c r="R6" s="123">
        <v>9300</v>
      </c>
      <c r="S6" s="370">
        <f>Table1[[#This Row],[Re-Orders Invoiced (units)]]/Table1[[#This Row],[Pre-Orders Invoiced (units)]]</f>
        <v>4.5365853658536584E-2</v>
      </c>
      <c r="T6" s="123">
        <v>0</v>
      </c>
      <c r="U6" s="370">
        <f>Table1[[#This Row],[Stock Clearance Invoiced (units)]]/Table1[[#This Row],[Pre-Orders Invoiced (units)]]</f>
        <v>0</v>
      </c>
      <c r="V6" s="123">
        <v>0</v>
      </c>
      <c r="W6" s="374">
        <f>Table1[[#This Row],[Returns Processed (units)]]/Table1[[#This Row],[Pre-Orders Invoiced (units)]]</f>
        <v>0</v>
      </c>
      <c r="X6" s="356">
        <v>1086705</v>
      </c>
      <c r="Y6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27297</v>
      </c>
      <c r="Z6" s="143">
        <f>Table1[[#This Row],[Net Sales (€)2]]/Table1[[#This Row],[Net Sales (Units0]]</f>
        <v>39.810418727332674</v>
      </c>
      <c r="AA6" s="123">
        <v>30750</v>
      </c>
      <c r="AB6" s="125">
        <v>3453</v>
      </c>
      <c r="AC6" s="366">
        <f>IFERROR(Table1[[#This Row],[Cancellations (units)4]]/Table1[[#This Row],[Pre-Orders Invoiced (units)3]],0)</f>
        <v>0.11229268292682927</v>
      </c>
      <c r="AD6" s="123">
        <v>0</v>
      </c>
      <c r="AE6" s="368">
        <f>IFERROR(Table1[[#This Row],[Re-Orders Invoiced (units)5]]/Table1[[#This Row],[Pre-Orders Invoiced (units)3]],0)</f>
        <v>0</v>
      </c>
      <c r="AF6" s="123">
        <v>0</v>
      </c>
      <c r="AG6" s="368">
        <f>IFERROR(Table1[[#This Row],[Stock Clearance Invoiced (units)6]]/Table1[[#This Row],[Pre-Orders Invoiced (units)3]],0)</f>
        <v>0</v>
      </c>
      <c r="AH6" s="123">
        <v>0</v>
      </c>
      <c r="AI6" s="381">
        <f>IFERROR(Table1[[#This Row],[Returns Processed (units)7]]/Table1[[#This Row],[Pre-Orders Invoiced (units)3]],0)</f>
        <v>0</v>
      </c>
      <c r="AJ6" s="393">
        <f>Table1[[#This Row],[Net Sales (€)2]]/Table1[[#This Row],[Net Sales (€)]]</f>
        <v>8.774835872888509E-2</v>
      </c>
      <c r="AK6" s="412">
        <f>Table1[[#This Row],[Net Sales (Units0]]+Table1[[#This Row],[Net Sales Units]]</f>
        <v>211597</v>
      </c>
      <c r="AL6" s="504">
        <f>Table1[[#This Row],[Net Sales (€)2]]+Table1[[#This Row],[Net Sales (€)]]</f>
        <v>13471039.199999999</v>
      </c>
      <c r="AM6" s="356">
        <v>256100</v>
      </c>
      <c r="AN6" s="147">
        <v>25435</v>
      </c>
      <c r="AO6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184300</v>
      </c>
      <c r="AP6" s="245">
        <f>Table1[[#This Row],[Net Sales (€)]]/AO6</f>
        <v>67.196604449267497</v>
      </c>
      <c r="AQ6" s="123">
        <f>AA6-+AB6+Table1[[#This Row],[Re-Orders Invoiced (units)5]]+AF6+AH6</f>
        <v>27297</v>
      </c>
      <c r="AR6" s="123">
        <f>IFERROR(Table1[[#This Row],[Net Sales (€)2]]/AQ6,"")</f>
        <v>39.810418727332674</v>
      </c>
      <c r="AS6" s="3"/>
      <c r="AT6" s="91">
        <f t="shared" si="2"/>
        <v>13471039.199999999</v>
      </c>
      <c r="AU6" s="91">
        <f t="shared" si="3"/>
        <v>16769480</v>
      </c>
      <c r="AV6" s="92">
        <f t="shared" si="4"/>
        <v>-0.19669308768071525</v>
      </c>
      <c r="AW6" s="106">
        <f t="shared" si="5"/>
        <v>0.17500354898802345</v>
      </c>
      <c r="AX6" s="155">
        <f t="shared" si="6"/>
        <v>-344</v>
      </c>
      <c r="AZ6" s="107">
        <f>AU6*(1-'SS24 Q2 Data'!$AB$5)</f>
        <v>15391590.572810592</v>
      </c>
      <c r="BA6" s="92">
        <f t="shared" si="7"/>
        <v>-0.19538308003871563</v>
      </c>
      <c r="BB6" s="106">
        <f t="shared" si="8"/>
        <v>0.17500354898802339</v>
      </c>
      <c r="BC6" s="115">
        <f t="shared" si="9"/>
        <v>-341.92732418986265</v>
      </c>
      <c r="BE6" s="107">
        <f>AU6*'SS24 Q2 Data'!$AB$5</f>
        <v>1377889.4271894076</v>
      </c>
      <c r="BF6" s="92">
        <f t="shared" si="10"/>
        <v>-0.21132641084514314</v>
      </c>
      <c r="BG6" s="106">
        <f t="shared" si="11"/>
        <v>0.17500354898802342</v>
      </c>
      <c r="BH6" s="118">
        <f t="shared" si="12"/>
        <v>-369.82871892801171</v>
      </c>
      <c r="BI6" s="118"/>
      <c r="BJ6" s="417">
        <f>Table1[[#This Row],[Net Sales Units]]/Table1[[#This Row],[Shoe Budget Units]]</f>
        <v>0.42184652517133331</v>
      </c>
      <c r="BK6" s="256">
        <f>Table1[[#This Row],[Net Sales (Units0]]/Table1[[#This Row],[Apparel Budget Units]]</f>
        <v>0.69793213520884811</v>
      </c>
      <c r="BL6" s="284">
        <f>Table1[[#This Row],[Net Sales Units total]]/Table1[[#This Row],[Units]]</f>
        <v>0.44453151260504203</v>
      </c>
      <c r="BM6" s="493">
        <f>ROUND(Table1[[#This Row],[Net Sales Units]]/'Hypotesis Panel'!$G$8,0)</f>
        <v>13164</v>
      </c>
      <c r="BN6" s="426">
        <f>ROUND('Hypotesis Panel'!$G$8/Table1[[#This Row],[ST% Shoes]],0)</f>
        <v>33</v>
      </c>
      <c r="BO6" s="482">
        <f>Table1[[#This Row],[Net Sales (Units0]]/'Hypotesis Panel'!$G$8</f>
        <v>1949.7857142857142</v>
      </c>
      <c r="BP6" s="426">
        <f>IFERROR(ROUND('Hypotesis Panel'!$G$8/Table1[[#This Row],[ST% Apparel]],0),"NoStock")</f>
        <v>20</v>
      </c>
      <c r="BQ6" s="515">
        <f>IFERROR(ROUND('Hypotesis Panel'!$G$8/Table1[[#This Row],[ST% ToTal]],0),"")</f>
        <v>31</v>
      </c>
      <c r="BR6" s="433">
        <f>Table1[[#This Row],[Expected WoOS Shoes]]-'Hypotesis Panel'!$G$8</f>
        <v>19</v>
      </c>
      <c r="BS6" s="420">
        <f>IFERROR(Table1[[#This Row],[Expected WoOS Apparel]]-'Hypotesis Panel'!$G$8,"")</f>
        <v>6</v>
      </c>
      <c r="BT6" s="435">
        <f>Table1[[#This Row],[Expected WoOS Total]]-'Hypotesis Panel'!$G$8</f>
        <v>17</v>
      </c>
      <c r="BU6" s="478">
        <f>Table1[[#This Row],[WOCoverage Shoes]]+'Hypotesis Panel'!$G$8-'Hypotesis Panel'!$F$3</f>
        <v>7</v>
      </c>
      <c r="BV6" s="497" t="str">
        <f>_xlfn.XLOOKUP(Table1[[#This Row],[WOS at WK26 Shoes]],Table2[Lower Bound],Table2[Action],,-1)</f>
        <v>Overstock</v>
      </c>
      <c r="BW6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6" s="71">
        <f>Table1[[#This Row],[WOC Apparel]]+'Hypotesis Panel'!$G$8-'Hypotesis Panel'!$F$3</f>
        <v>-6</v>
      </c>
      <c r="BY6" s="479" t="str">
        <f>_xlfn.XLOOKUP(Table1[[#This Row],[WOS at WK26 Apparel]],Table2[Lower Bound],Table2[Action],,-1)</f>
        <v>Stock Out Risk</v>
      </c>
      <c r="CA6" s="285">
        <f>ROUND(Table1[[#This Row],[% Budget share]]*'Available Stock'!$H$6,0)</f>
        <v>189753</v>
      </c>
      <c r="CB6" s="475">
        <f>ROUND(Table1[[#This Row],[% Budget share]]*'Available Stock'!$I$6,0)</f>
        <v>113852</v>
      </c>
      <c r="CC6" s="482">
        <f>Table1[[#This Row],[Net Sales (Units0]]/'Hypotesis Panel'!$G$8</f>
        <v>1949.7857142857142</v>
      </c>
      <c r="CD6" s="285">
        <f>ROUND(Table1[[#This Row],[% Budget share]]*'Available Stock'!$H$7,0)</f>
        <v>28372</v>
      </c>
      <c r="CE6" s="475">
        <f>ROUND(Table1[[#This Row],[% Budget share]]*'Available Stock'!$I$7,0)</f>
        <v>7944</v>
      </c>
      <c r="CF6" s="482" t="e">
        <f>Table1[[#This Row],[Shoes Available Q2 Stock Current Season ]]/#REF!</f>
        <v>#REF!</v>
      </c>
      <c r="CG6" s="285" t="e">
        <f>Table1[[#This Row],[Shoes Available Q2 Stock Old Season]]/#REF!</f>
        <v>#REF!</v>
      </c>
      <c r="CH6" s="285" t="e">
        <f>SUM(Table1[[#This Row],[Q2 Shoes New Stock WOC based on Q1 Sales Velocity]:[Q2 Shoes Old Stock WOC based on Q1 Sales Velocity]])</f>
        <v>#REF!</v>
      </c>
      <c r="CI6" s="285">
        <f>IFERROR(Table1[[#This Row],[Apparel Q2 Available Stock Current Season 2]]/Table1[[#This Row],[Avg Apparel Q1 Weekly Sales2]],"")</f>
        <v>14.551342638385171</v>
      </c>
      <c r="CJ6" s="285">
        <f>IFERROR(Table1[[#This Row],[Apparel Q2Available Stock Old Season3]]/Table1[[#This Row],[Avg Apparel Q1 Weekly Sales2]],"")</f>
        <v>4.0742938784481817</v>
      </c>
      <c r="CK6" s="475">
        <f>SUM(Table1[[#This Row],[Q2 Apparel New Stock WOC based on Q1 Sales Velocity]:[Q2 Apparel Old Stock WOC based on Q1 Sales Velocity]])</f>
        <v>18.625636516833353</v>
      </c>
    </row>
    <row r="7" spans="1:89">
      <c r="A7" s="130" t="s">
        <v>50</v>
      </c>
      <c r="B7" s="122" t="s">
        <v>50</v>
      </c>
      <c r="C7" s="127" t="s">
        <v>52</v>
      </c>
      <c r="D7" s="127" t="str">
        <f>_xlfn.CONCAT(Table1[[#This Row],[Sub Region]:[Account]])</f>
        <v>EuropeEuropeVault</v>
      </c>
      <c r="E7" s="127" t="str">
        <f>_xlfn.IFNA(VLOOKUP(Table1[[#This Row],[Account]],'Account Information'!$A$4:$B$18,2,FALSE),"")</f>
        <v>Lifestyle</v>
      </c>
      <c r="F7" s="124">
        <v>16282749.999999998</v>
      </c>
      <c r="G7" s="123">
        <v>275000</v>
      </c>
      <c r="H7" s="374">
        <f>Table1[[#This Row],[Units]]/$G$2</f>
        <v>0.11261722429255908</v>
      </c>
      <c r="I7" s="142">
        <f t="shared" si="1"/>
        <v>59.209999999999994</v>
      </c>
      <c r="J7" s="406">
        <f>Table1[[#This Row],[Units]]*(1-'Hypotesis Panel'!$F$46)</f>
        <v>252404.21334012222</v>
      </c>
      <c r="K7" s="406">
        <f>Table1[[#This Row],[Units]]-Table1[[#This Row],[Shoe Budget Units]]</f>
        <v>22595.786659877776</v>
      </c>
      <c r="L7" s="146">
        <v>9595260</v>
      </c>
      <c r="M7" s="123">
        <v>156500</v>
      </c>
      <c r="N7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151500</v>
      </c>
      <c r="O7" s="397">
        <f>Table1[[#This Row],[Net Sales (€)]]/Table1[[#This Row],[Net Sales Units]]</f>
        <v>63.335049504950497</v>
      </c>
      <c r="P7" s="125">
        <v>10000</v>
      </c>
      <c r="Q7" s="365">
        <f>Table1[[#This Row],[Cancellations (units)]]/Table1[[#This Row],[Pre-Orders Invoiced (units)]]</f>
        <v>6.3897763578274758E-2</v>
      </c>
      <c r="R7" s="123">
        <v>5000</v>
      </c>
      <c r="S7" s="370">
        <f>Table1[[#This Row],[Re-Orders Invoiced (units)]]/Table1[[#This Row],[Pre-Orders Invoiced (units)]]</f>
        <v>3.1948881789137379E-2</v>
      </c>
      <c r="T7" s="123">
        <v>0</v>
      </c>
      <c r="U7" s="370">
        <f>Table1[[#This Row],[Stock Clearance Invoiced (units)]]/Table1[[#This Row],[Pre-Orders Invoiced (units)]]</f>
        <v>0</v>
      </c>
      <c r="V7" s="123">
        <v>0</v>
      </c>
      <c r="W7" s="374">
        <f>Table1[[#This Row],[Returns Processed (units)]]/Table1[[#This Row],[Pre-Orders Invoiced (units)]]</f>
        <v>0</v>
      </c>
      <c r="X7" s="356">
        <v>0</v>
      </c>
      <c r="Y7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0</v>
      </c>
      <c r="Z7" s="143"/>
      <c r="AA7" s="123">
        <v>0</v>
      </c>
      <c r="AB7" s="125">
        <v>0</v>
      </c>
      <c r="AC7" s="365">
        <f>IFERROR(Table1[[#This Row],[Cancellations (units)4]]/Table1[[#This Row],[Pre-Orders Invoiced (units)3]],0)</f>
        <v>0</v>
      </c>
      <c r="AD7" s="123">
        <v>0</v>
      </c>
      <c r="AE7" s="368">
        <f>IFERROR(Table1[[#This Row],[Re-Orders Invoiced (units)5]]/Table1[[#This Row],[Pre-Orders Invoiced (units)3]],0)</f>
        <v>0</v>
      </c>
      <c r="AF7" s="123">
        <v>0</v>
      </c>
      <c r="AG7" s="368">
        <f>IFERROR(Table1[[#This Row],[Stock Clearance Invoiced (units)6]]/Table1[[#This Row],[Pre-Orders Invoiced (units)3]],0)</f>
        <v>0</v>
      </c>
      <c r="AH7" s="123">
        <v>0</v>
      </c>
      <c r="AI7" s="381">
        <f>IFERROR(Table1[[#This Row],[Returns Processed (units)7]]/Table1[[#This Row],[Pre-Orders Invoiced (units)3]],0)</f>
        <v>0</v>
      </c>
      <c r="AJ7" s="393">
        <f>Table1[[#This Row],[Net Sales (€)2]]/Table1[[#This Row],[Net Sales (€)]]</f>
        <v>0</v>
      </c>
      <c r="AK7" s="412">
        <f>Table1[[#This Row],[Net Sales (Units0]]+Table1[[#This Row],[Net Sales Units]]</f>
        <v>151500</v>
      </c>
      <c r="AL7" s="504">
        <f>Table1[[#This Row],[Net Sales (€)2]]+Table1[[#This Row],[Net Sales (€)]]</f>
        <v>9595260</v>
      </c>
      <c r="AM7" s="356">
        <v>124000</v>
      </c>
      <c r="AN7" s="147">
        <v>0</v>
      </c>
      <c r="AO7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151500</v>
      </c>
      <c r="AP7" s="245">
        <f>Table1[[#This Row],[Net Sales (€)]]/AO7</f>
        <v>63.335049504950497</v>
      </c>
      <c r="AQ7" s="123">
        <f>AA7-+AB7+Table1[[#This Row],[Re-Orders Invoiced (units)5]]+AF7+AH7</f>
        <v>0</v>
      </c>
      <c r="AR7" s="123" t="str">
        <f>IFERROR(Table1[[#This Row],[Net Sales (€)2]]/AQ7,"")</f>
        <v/>
      </c>
      <c r="AS7" s="3"/>
      <c r="AT7" s="91">
        <f t="shared" si="2"/>
        <v>9595260</v>
      </c>
      <c r="AU7" s="91">
        <f t="shared" si="3"/>
        <v>10583787.5</v>
      </c>
      <c r="AV7" s="92">
        <f t="shared" si="4"/>
        <v>-9.340016511102478E-2</v>
      </c>
      <c r="AW7" s="106">
        <f t="shared" si="5"/>
        <v>0.11045067433427157</v>
      </c>
      <c r="AX7" s="155">
        <f t="shared" si="6"/>
        <v>-103</v>
      </c>
      <c r="AZ7" s="107">
        <f>AU7*(1-'SS24 Q2 Data'!$AB$5)</f>
        <v>9714154.7567146141</v>
      </c>
      <c r="BA7" s="92">
        <f t="shared" si="7"/>
        <v>-1.2239331129909381E-2</v>
      </c>
      <c r="BB7" s="106">
        <f t="shared" si="8"/>
        <v>0.11045067433427153</v>
      </c>
      <c r="BC7" s="115">
        <f t="shared" si="9"/>
        <v>-13.518423766989326</v>
      </c>
      <c r="BE7" s="107">
        <f>AU7*'SS24 Q2 Data'!$AB$5</f>
        <v>869632.74328538578</v>
      </c>
      <c r="BF7" s="92">
        <f t="shared" si="10"/>
        <v>-1</v>
      </c>
      <c r="BG7" s="106">
        <f t="shared" si="11"/>
        <v>0.11045067433427153</v>
      </c>
      <c r="BH7" s="118">
        <f t="shared" si="12"/>
        <v>-1104.5067433427153</v>
      </c>
      <c r="BI7" s="118"/>
      <c r="BJ7" s="417">
        <f>Table1[[#This Row],[Net Sales Units]]/Table1[[#This Row],[Shoe Budget Units]]</f>
        <v>0.60022769824309241</v>
      </c>
      <c r="BK7" s="256">
        <f>Table1[[#This Row],[Net Sales (Units0]]/Table1[[#This Row],[Apparel Budget Units]]</f>
        <v>0</v>
      </c>
      <c r="BL7" s="284">
        <f>Table1[[#This Row],[Net Sales Units total]]/Table1[[#This Row],[Units]]</f>
        <v>0.5509090909090909</v>
      </c>
      <c r="BM7" s="493">
        <f>ROUND(Table1[[#This Row],[Net Sales Units]]/'Hypotesis Panel'!$G$8,0)</f>
        <v>10821</v>
      </c>
      <c r="BN7" s="426">
        <f>ROUND('Hypotesis Panel'!$G$8/Table1[[#This Row],[ST% Shoes]],0)</f>
        <v>23</v>
      </c>
      <c r="BO7" s="482">
        <f>Table1[[#This Row],[Net Sales (Units0]]/'Hypotesis Panel'!$G$8</f>
        <v>0</v>
      </c>
      <c r="BP7" s="426" t="str">
        <f>IFERROR(ROUND('Hypotesis Panel'!$G$8/Table1[[#This Row],[ST% Apparel]],0),"NoStock")</f>
        <v>NoStock</v>
      </c>
      <c r="BQ7" s="515">
        <f>IFERROR(ROUND('Hypotesis Panel'!$G$8/Table1[[#This Row],[ST% ToTal]],0),"")</f>
        <v>25</v>
      </c>
      <c r="BR7" s="433">
        <f>Table1[[#This Row],[Expected WoOS Shoes]]-'Hypotesis Panel'!$G$8</f>
        <v>9</v>
      </c>
      <c r="BS7" s="420">
        <v>0</v>
      </c>
      <c r="BT7" s="435">
        <f>Table1[[#This Row],[Expected WoOS Total]]-'Hypotesis Panel'!$G$8</f>
        <v>11</v>
      </c>
      <c r="BU7" s="478">
        <f>Table1[[#This Row],[WOCoverage Shoes]]+'Hypotesis Panel'!$G$8-'Hypotesis Panel'!$F$3</f>
        <v>-3</v>
      </c>
      <c r="BV7" s="497" t="str">
        <f>_xlfn.XLOOKUP(Table1[[#This Row],[WOS at WK26 Shoes]],Table2[Lower Bound],Table2[Action],,-1)</f>
        <v>Stock Out Risk</v>
      </c>
      <c r="BW7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-2056045.7120792079</v>
      </c>
      <c r="BX7" s="71">
        <f>Table1[[#This Row],[WOC Apparel]]+'Hypotesis Panel'!$G$8-'Hypotesis Panel'!$F$3</f>
        <v>-12</v>
      </c>
      <c r="BY7" s="479" t="str">
        <f>_xlfn.XLOOKUP(Table1[[#This Row],[WOS at WK26 Apparel]],Table2[Lower Bound],Table2[Action],,-1)</f>
        <v>Stock Out Risk</v>
      </c>
      <c r="CA7" s="285">
        <f>ROUND(Table1[[#This Row],[% Budget share]]*'Available Stock'!$H$6,0)</f>
        <v>109626</v>
      </c>
      <c r="CB7" s="475">
        <f>ROUND(Table1[[#This Row],[% Budget share]]*'Available Stock'!$I$6,0)</f>
        <v>65776</v>
      </c>
      <c r="CC7" s="482">
        <f>Table1[[#This Row],[Net Sales (Units0]]/'Hypotesis Panel'!$G$8</f>
        <v>0</v>
      </c>
      <c r="CD7" s="285">
        <f>ROUND(Table1[[#This Row],[% Budget share]]*'Available Stock'!$H$7,0)</f>
        <v>16392</v>
      </c>
      <c r="CE7" s="475">
        <f>ROUND(Table1[[#This Row],[% Budget share]]*'Available Stock'!$I$7,0)</f>
        <v>4590</v>
      </c>
      <c r="CF7" s="482" t="e">
        <f>Table1[[#This Row],[Shoes Available Q2 Stock Current Season ]]/#REF!</f>
        <v>#REF!</v>
      </c>
      <c r="CG7" s="285" t="e">
        <f>Table1[[#This Row],[Shoes Available Q2 Stock Old Season]]/#REF!</f>
        <v>#REF!</v>
      </c>
      <c r="CH7" s="285" t="e">
        <f>SUM(Table1[[#This Row],[Q2 Shoes New Stock WOC based on Q1 Sales Velocity]:[Q2 Shoes Old Stock WOC based on Q1 Sales Velocity]])</f>
        <v>#REF!</v>
      </c>
      <c r="CI7" s="285" t="str">
        <f>IFERROR(Table1[[#This Row],[Apparel Q2 Available Stock Current Season 2]]/Table1[[#This Row],[Avg Apparel Q1 Weekly Sales2]],"")</f>
        <v/>
      </c>
      <c r="CJ7" s="285" t="str">
        <f>IFERROR(Table1[[#This Row],[Apparel Q2Available Stock Old Season3]]/Table1[[#This Row],[Avg Apparel Q1 Weekly Sales2]],"")</f>
        <v/>
      </c>
      <c r="CK7" s="475">
        <f>SUM(Table1[[#This Row],[Q2 Apparel New Stock WOC based on Q1 Sales Velocity]:[Q2 Apparel Old Stock WOC based on Q1 Sales Velocity]])</f>
        <v>0</v>
      </c>
    </row>
    <row r="8" spans="1:89">
      <c r="A8" s="130" t="s">
        <v>29</v>
      </c>
      <c r="B8" s="122" t="s">
        <v>33</v>
      </c>
      <c r="C8" s="565" t="s">
        <v>31</v>
      </c>
      <c r="D8" s="565" t="str">
        <f>_xlfn.CONCAT(Table1[[#This Row],[Sub Region]:[Account]])</f>
        <v>CentralAustriaField Accounts</v>
      </c>
      <c r="E8" s="565" t="str">
        <f>_xlfn.IFNA(VLOOKUP(Table1[[#This Row],[Account]],'Account Information'!$A$4:$B$18,2,FALSE),"")</f>
        <v>Field Accounts</v>
      </c>
      <c r="F8" s="566">
        <v>8700222.5999999996</v>
      </c>
      <c r="G8" s="123">
        <v>142200</v>
      </c>
      <c r="H8" s="374">
        <f>Table1[[#This Row],[Units]]/$G$2</f>
        <v>5.8233342888734184E-2</v>
      </c>
      <c r="I8" s="142">
        <f t="shared" si="1"/>
        <v>61.183</v>
      </c>
      <c r="J8" s="406">
        <f>Table1[[#This Row],[Units]]*(1-'Hypotesis Panel'!$F$46)</f>
        <v>130515.92413441956</v>
      </c>
      <c r="K8" s="406">
        <f>Table1[[#This Row],[Units]]-Table1[[#This Row],[Shoe Budget Units]]</f>
        <v>11684.075865580438</v>
      </c>
      <c r="L8" s="146">
        <v>5702536</v>
      </c>
      <c r="M8" s="123">
        <v>82100</v>
      </c>
      <c r="N8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85500</v>
      </c>
      <c r="O8" s="397">
        <f>Table1[[#This Row],[Net Sales (€)]]/Table1[[#This Row],[Net Sales Units]]</f>
        <v>66.696327485380124</v>
      </c>
      <c r="P8" s="125">
        <v>2500</v>
      </c>
      <c r="Q8" s="365">
        <f>Table1[[#This Row],[Cancellations (units)]]/Table1[[#This Row],[Pre-Orders Invoiced (units)]]</f>
        <v>3.0450669914738125E-2</v>
      </c>
      <c r="R8" s="123">
        <v>6600</v>
      </c>
      <c r="S8" s="370">
        <f>Table1[[#This Row],[Re-Orders Invoiced (units)]]/Table1[[#This Row],[Pre-Orders Invoiced (units)]]</f>
        <v>8.0389768574908649E-2</v>
      </c>
      <c r="T8" s="123">
        <v>600</v>
      </c>
      <c r="U8" s="370">
        <f>Table1[[#This Row],[Stock Clearance Invoiced (units)]]/Table1[[#This Row],[Pre-Orders Invoiced (units)]]</f>
        <v>7.3081607795371494E-3</v>
      </c>
      <c r="V8" s="123">
        <v>-1300</v>
      </c>
      <c r="W8" s="374">
        <f>Table1[[#This Row],[Returns Processed (units)]]/Table1[[#This Row],[Pre-Orders Invoiced (units)]]</f>
        <v>-1.5834348355663823E-2</v>
      </c>
      <c r="X8" s="356">
        <v>563848.70799999998</v>
      </c>
      <c r="Y8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13014</v>
      </c>
      <c r="Z8" s="143">
        <f>Table1[[#This Row],[Net Sales (€)2]]/Table1[[#This Row],[Net Sales (Units0]]</f>
        <v>43.326318426310124</v>
      </c>
      <c r="AA8" s="123">
        <v>12315</v>
      </c>
      <c r="AB8" s="125">
        <v>375</v>
      </c>
      <c r="AC8" s="365">
        <f>IFERROR(Table1[[#This Row],[Cancellations (units)4]]/Table1[[#This Row],[Pre-Orders Invoiced (units)3]],0)</f>
        <v>3.0450669914738125E-2</v>
      </c>
      <c r="AD8" s="123">
        <v>674</v>
      </c>
      <c r="AE8" s="368">
        <f>IFERROR(Table1[[#This Row],[Re-Orders Invoiced (units)5]]/Table1[[#This Row],[Pre-Orders Invoiced (units)3]],0)</f>
        <v>5.4730004060089321E-2</v>
      </c>
      <c r="AF8" s="123">
        <v>600</v>
      </c>
      <c r="AG8" s="368">
        <f>IFERROR(Table1[[#This Row],[Stock Clearance Invoiced (units)6]]/Table1[[#This Row],[Pre-Orders Invoiced (units)3]],0)</f>
        <v>4.8721071863580996E-2</v>
      </c>
      <c r="AH8" s="123">
        <v>-200</v>
      </c>
      <c r="AI8" s="381">
        <f>IFERROR(Table1[[#This Row],[Returns Processed (units)7]]/Table1[[#This Row],[Pre-Orders Invoiced (units)3]],0)</f>
        <v>-1.6240357287860333E-2</v>
      </c>
      <c r="AJ8" s="393">
        <f>Table1[[#This Row],[Net Sales (€)2]]/Table1[[#This Row],[Net Sales (€)]]</f>
        <v>9.88768344469899E-2</v>
      </c>
      <c r="AK8" s="412">
        <f>Table1[[#This Row],[Net Sales (Units0]]+Table1[[#This Row],[Net Sales Units]]</f>
        <v>98514</v>
      </c>
      <c r="AL8" s="504">
        <f>Table1[[#This Row],[Net Sales (€)2]]+Table1[[#This Row],[Net Sales (€)]]</f>
        <v>6266384.7079999996</v>
      </c>
      <c r="AM8" s="356">
        <v>24900</v>
      </c>
      <c r="AN8" s="147">
        <v>2435</v>
      </c>
      <c r="AO8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85500</v>
      </c>
      <c r="AP8" s="245">
        <f>Table1[[#This Row],[Net Sales (€)]]/AO8</f>
        <v>66.696327485380124</v>
      </c>
      <c r="AQ8" s="123">
        <f>AA8-+AB8+Table1[[#This Row],[Re-Orders Invoiced (units)5]]+AF8+AH8</f>
        <v>13014</v>
      </c>
      <c r="AR8" s="123">
        <f>IFERROR(Table1[[#This Row],[Net Sales (€)2]]/AQ8,"")</f>
        <v>43.326318426310124</v>
      </c>
      <c r="AS8" s="3"/>
      <c r="AT8" s="91">
        <f t="shared" si="2"/>
        <v>6266384.7079999996</v>
      </c>
      <c r="AU8" s="91">
        <f t="shared" si="3"/>
        <v>5655144.6900000004</v>
      </c>
      <c r="AV8" s="92">
        <f t="shared" si="4"/>
        <v>0.10808565501088863</v>
      </c>
      <c r="AW8" s="106">
        <f t="shared" si="5"/>
        <v>5.9016164531683499E-2</v>
      </c>
      <c r="AX8" s="155">
        <f t="shared" si="6"/>
        <v>64</v>
      </c>
      <c r="AY8" s="118"/>
      <c r="AZ8" s="107">
        <f>AU8*(1-'SS24 Q2 Data'!$AB$5)</f>
        <v>5190481.2611055253</v>
      </c>
      <c r="BA8" s="92">
        <f t="shared" si="7"/>
        <v>9.8652651485618081E-2</v>
      </c>
      <c r="BB8" s="106">
        <f t="shared" si="8"/>
        <v>5.9016164531683478E-2</v>
      </c>
      <c r="BC8" s="115">
        <f t="shared" si="9"/>
        <v>58.221011115620648</v>
      </c>
      <c r="BD8" s="118"/>
      <c r="BE8" s="107">
        <f>AU8*'SS24 Q2 Data'!$AB$5</f>
        <v>464663.42889447499</v>
      </c>
      <c r="BF8" s="92">
        <f t="shared" si="10"/>
        <v>0.21345617696126018</v>
      </c>
      <c r="BG8" s="106">
        <f t="shared" si="11"/>
        <v>5.9016164531683485E-2</v>
      </c>
      <c r="BH8" s="118">
        <f t="shared" si="12"/>
        <v>125.97364859849877</v>
      </c>
      <c r="BI8" s="118"/>
      <c r="BJ8" s="417">
        <f>Table1[[#This Row],[Net Sales Units]]/Table1[[#This Row],[Shoe Budget Units]]</f>
        <v>0.65509247677657134</v>
      </c>
      <c r="BK8" s="256">
        <f>Table1[[#This Row],[Net Sales (Units0]]/Table1[[#This Row],[Apparel Budget Units]]</f>
        <v>1.1138236476482768</v>
      </c>
      <c r="BL8" s="284">
        <f>Table1[[#This Row],[Net Sales Units total]]/Table1[[#This Row],[Units]]</f>
        <v>0.69278481012658233</v>
      </c>
      <c r="BM8" s="493">
        <f>ROUND(Table1[[#This Row],[Net Sales Units]]/'Hypotesis Panel'!$G$8,0)</f>
        <v>6107</v>
      </c>
      <c r="BN8" s="426">
        <f>ROUND('Hypotesis Panel'!$G$8/Table1[[#This Row],[ST% Shoes]],0)</f>
        <v>21</v>
      </c>
      <c r="BO8" s="482">
        <f>Table1[[#This Row],[Net Sales (Units0]]/'Hypotesis Panel'!$G$8</f>
        <v>929.57142857142856</v>
      </c>
      <c r="BP8" s="426">
        <f>IFERROR(ROUND('Hypotesis Panel'!$G$8/Table1[[#This Row],[ST% Apparel]],0),"NoStock")</f>
        <v>13</v>
      </c>
      <c r="BQ8" s="515">
        <f>IFERROR(ROUND('Hypotesis Panel'!$G$8/Table1[[#This Row],[ST% ToTal]],0),"")</f>
        <v>20</v>
      </c>
      <c r="BR8" s="433">
        <f>Table1[[#This Row],[Expected WoOS Shoes]]-'Hypotesis Panel'!$G$8</f>
        <v>7</v>
      </c>
      <c r="BS8" s="420">
        <f>IFERROR(Table1[[#This Row],[Expected WoOS Apparel]]-'Hypotesis Panel'!$G$8,"")</f>
        <v>-1</v>
      </c>
      <c r="BT8" s="435">
        <f>Table1[[#This Row],[Expected WoOS Total]]-'Hypotesis Panel'!$G$8</f>
        <v>6</v>
      </c>
      <c r="BU8" s="478">
        <f>Table1[[#This Row],[WOCoverage Shoes]]+'Hypotesis Panel'!$G$8-'Hypotesis Panel'!$F$3</f>
        <v>-5</v>
      </c>
      <c r="BV8" s="497" t="str">
        <f>_xlfn.XLOOKUP(Table1[[#This Row],[WOS at WK26 Shoes]],Table2[Lower Bound],Table2[Action],,-1)</f>
        <v>Stock Out Risk</v>
      </c>
      <c r="BW8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-2036572.3597660821</v>
      </c>
      <c r="BX8" s="71">
        <f>Table1[[#This Row],[WOC Apparel]]+'Hypotesis Panel'!$G$8-'Hypotesis Panel'!$F$3</f>
        <v>-13</v>
      </c>
      <c r="BY8" s="479" t="str">
        <f>_xlfn.XLOOKUP(Table1[[#This Row],[WOS at WK26 Apparel]],Table2[Lower Bound],Table2[Action],,-1)</f>
        <v>Stock Out Risk</v>
      </c>
      <c r="CA8" s="285">
        <f>ROUND(Table1[[#This Row],[% Budget share]]*'Available Stock'!$H$6,0)</f>
        <v>56687</v>
      </c>
      <c r="CB8" s="475">
        <f>ROUND(Table1[[#This Row],[% Budget share]]*'Available Stock'!$I$6,0)</f>
        <v>34012</v>
      </c>
      <c r="CC8" s="482">
        <f>Table1[[#This Row],[Net Sales (Units0]]/'Hypotesis Panel'!$G$8</f>
        <v>929.57142857142856</v>
      </c>
      <c r="CD8" s="285">
        <f>ROUND(Table1[[#This Row],[% Budget share]]*'Available Stock'!$H$7,0)</f>
        <v>8476</v>
      </c>
      <c r="CE8" s="475">
        <f>ROUND(Table1[[#This Row],[% Budget share]]*'Available Stock'!$I$7,0)</f>
        <v>2373</v>
      </c>
      <c r="CF8" s="482" t="e">
        <f>Table1[[#This Row],[Shoes Available Q2 Stock Current Season ]]/#REF!</f>
        <v>#REF!</v>
      </c>
      <c r="CG8" s="285" t="e">
        <f>Table1[[#This Row],[Shoes Available Q2 Stock Old Season]]/#REF!</f>
        <v>#REF!</v>
      </c>
      <c r="CH8" s="285" t="e">
        <f>SUM(Table1[[#This Row],[Q2 Shoes New Stock WOC based on Q1 Sales Velocity]:[Q2 Shoes Old Stock WOC based on Q1 Sales Velocity]])</f>
        <v>#REF!</v>
      </c>
      <c r="CI8" s="285">
        <f>IFERROR(Table1[[#This Row],[Apparel Q2 Available Stock Current Season 2]]/Table1[[#This Row],[Avg Apparel Q1 Weekly Sales2]],"")</f>
        <v>9.1181804210849862</v>
      </c>
      <c r="CJ8" s="285">
        <f>IFERROR(Table1[[#This Row],[Apparel Q2Available Stock Old Season3]]/Table1[[#This Row],[Avg Apparel Q1 Weekly Sales2]],"")</f>
        <v>2.5527893038266485</v>
      </c>
      <c r="CK8" s="475">
        <f>SUM(Table1[[#This Row],[Q2 Apparel New Stock WOC based on Q1 Sales Velocity]:[Q2 Apparel Old Stock WOC based on Q1 Sales Velocity]])</f>
        <v>11.670969724911634</v>
      </c>
    </row>
    <row r="9" spans="1:89">
      <c r="A9" s="131" t="s">
        <v>34</v>
      </c>
      <c r="B9" s="122" t="s">
        <v>40</v>
      </c>
      <c r="C9" s="565" t="s">
        <v>31</v>
      </c>
      <c r="D9" s="565" t="str">
        <f>_xlfn.CONCAT(Table1[[#This Row],[Sub Region]:[Account]])</f>
        <v>NorthUnited KingdomField Accounts</v>
      </c>
      <c r="E9" s="565" t="str">
        <f>_xlfn.IFNA(VLOOKUP(Table1[[#This Row],[Account]],'Account Information'!$A$4:$B$18,2,FALSE),"")</f>
        <v>Field Accounts</v>
      </c>
      <c r="F9" s="566">
        <v>10404450</v>
      </c>
      <c r="G9" s="123">
        <v>157500</v>
      </c>
      <c r="H9" s="374">
        <f>Table1[[#This Row],[Units]]/$G$2</f>
        <v>6.4498955731192922E-2</v>
      </c>
      <c r="I9" s="142">
        <f t="shared" si="1"/>
        <v>66.06</v>
      </c>
      <c r="J9" s="406">
        <f>Table1[[#This Row],[Units]]*(1-'Hypotesis Panel'!$F$46)</f>
        <v>144558.77673116091</v>
      </c>
      <c r="K9" s="406">
        <f>Table1[[#This Row],[Units]]-Table1[[#This Row],[Shoe Budget Units]]</f>
        <v>12941.223268839094</v>
      </c>
      <c r="L9" s="146">
        <v>5451235.7759999996</v>
      </c>
      <c r="M9" s="123">
        <v>72200</v>
      </c>
      <c r="N9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62552</v>
      </c>
      <c r="O9" s="397">
        <f>Table1[[#This Row],[Net Sales (€)]]/Table1[[#This Row],[Net Sales Units]]</f>
        <v>87.147265890778868</v>
      </c>
      <c r="P9" s="125">
        <v>17700</v>
      </c>
      <c r="Q9" s="366">
        <f>Table1[[#This Row],[Cancellations (units)]]/Table1[[#This Row],[Pre-Orders Invoiced (units)]]</f>
        <v>0.24515235457063711</v>
      </c>
      <c r="R9" s="123">
        <v>8500</v>
      </c>
      <c r="S9" s="370">
        <f>Table1[[#This Row],[Re-Orders Invoiced (units)]]/Table1[[#This Row],[Pre-Orders Invoiced (units)]]</f>
        <v>0.11772853185595568</v>
      </c>
      <c r="T9" s="123">
        <v>4452</v>
      </c>
      <c r="U9" s="370">
        <f>Table1[[#This Row],[Stock Clearance Invoiced (units)]]/Table1[[#This Row],[Pre-Orders Invoiced (units)]]</f>
        <v>6.1662049861495843E-2</v>
      </c>
      <c r="V9" s="123">
        <v>-4900</v>
      </c>
      <c r="W9" s="374">
        <f>Table1[[#This Row],[Returns Processed (units)]]/Table1[[#This Row],[Pre-Orders Invoiced (units)]]</f>
        <v>-6.7867036011080337E-2</v>
      </c>
      <c r="X9" s="356">
        <v>467854.39200000005</v>
      </c>
      <c r="Y9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10395</v>
      </c>
      <c r="Z9" s="143">
        <f>Table1[[#This Row],[Net Sales (€)2]]/Table1[[#This Row],[Net Sales (Units0]]</f>
        <v>45.007637518037519</v>
      </c>
      <c r="AA9" s="123">
        <v>7220</v>
      </c>
      <c r="AB9" s="125">
        <v>1236</v>
      </c>
      <c r="AC9" s="366">
        <f>IFERROR(Table1[[#This Row],[Cancellations (units)4]]/Table1[[#This Row],[Pre-Orders Invoiced (units)3]],0)</f>
        <v>0.17119113573407202</v>
      </c>
      <c r="AD9" s="123">
        <v>234</v>
      </c>
      <c r="AE9" s="368">
        <f>IFERROR(Table1[[#This Row],[Re-Orders Invoiced (units)5]]/Table1[[#This Row],[Pre-Orders Invoiced (units)3]],0)</f>
        <v>3.2409972299168976E-2</v>
      </c>
      <c r="AF9" s="123">
        <v>4452</v>
      </c>
      <c r="AG9" s="384">
        <f>IFERROR(Table1[[#This Row],[Stock Clearance Invoiced (units)6]]/Table1[[#This Row],[Pre-Orders Invoiced (units)3]],0)</f>
        <v>0.61662049861495849</v>
      </c>
      <c r="AH9" s="123">
        <v>-275</v>
      </c>
      <c r="AI9" s="381">
        <f>IFERROR(Table1[[#This Row],[Returns Processed (units)7]]/Table1[[#This Row],[Pre-Orders Invoiced (units)3]],0)</f>
        <v>-3.8088642659279776E-2</v>
      </c>
      <c r="AJ9" s="393">
        <f>Table1[[#This Row],[Net Sales (€)2]]/Table1[[#This Row],[Net Sales (€)]]</f>
        <v>8.5825381844573528E-2</v>
      </c>
      <c r="AK9" s="412">
        <f>Table1[[#This Row],[Net Sales (Units0]]+Table1[[#This Row],[Net Sales Units]]</f>
        <v>72947</v>
      </c>
      <c r="AL9" s="504">
        <f>Table1[[#This Row],[Net Sales (€)2]]+Table1[[#This Row],[Net Sales (€)]]</f>
        <v>5919090.1679999996</v>
      </c>
      <c r="AM9" s="356">
        <v>30700</v>
      </c>
      <c r="AN9" s="147">
        <v>1231</v>
      </c>
      <c r="AO9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62552</v>
      </c>
      <c r="AP9" s="245">
        <f>Table1[[#This Row],[Net Sales (€)]]/AO9</f>
        <v>87.147265890778868</v>
      </c>
      <c r="AQ9" s="123">
        <f>AA9-+AB9+Table1[[#This Row],[Re-Orders Invoiced (units)5]]+AF9+AH9</f>
        <v>10395</v>
      </c>
      <c r="AR9" s="123">
        <f>IFERROR(Table1[[#This Row],[Net Sales (€)2]]/AQ9,"")</f>
        <v>45.007637518037519</v>
      </c>
      <c r="AS9" s="3"/>
      <c r="AT9" s="91">
        <f t="shared" si="2"/>
        <v>5919090.1679999996</v>
      </c>
      <c r="AU9" s="91">
        <f t="shared" si="3"/>
        <v>6762892.5</v>
      </c>
      <c r="AV9" s="92">
        <f t="shared" si="4"/>
        <v>-0.12476944325227712</v>
      </c>
      <c r="AW9" s="106">
        <f t="shared" si="5"/>
        <v>7.057643939612239E-2</v>
      </c>
      <c r="AX9" s="155">
        <f t="shared" si="6"/>
        <v>-88</v>
      </c>
      <c r="AZ9" s="107">
        <f>AU9*(1-'SS24 Q2 Data'!$AB$5)</f>
        <v>6207209.314059318</v>
      </c>
      <c r="BA9" s="92">
        <f t="shared" si="7"/>
        <v>-0.12178959977183945</v>
      </c>
      <c r="BB9" s="106">
        <f t="shared" si="8"/>
        <v>7.0576439396122362E-2</v>
      </c>
      <c r="BC9" s="115">
        <f t="shared" si="9"/>
        <v>-85.954763073752261</v>
      </c>
      <c r="BE9" s="107">
        <f>AU9*'SS24 Q2 Data'!$AB$5</f>
        <v>555683.18594068161</v>
      </c>
      <c r="BF9" s="92">
        <f t="shared" si="10"/>
        <v>-0.15805551825722719</v>
      </c>
      <c r="BG9" s="106">
        <f t="shared" si="11"/>
        <v>7.0576439396122376E-2</v>
      </c>
      <c r="BH9" s="118">
        <f t="shared" si="12"/>
        <v>-111.54995705503907</v>
      </c>
      <c r="BI9" s="118"/>
      <c r="BJ9" s="417">
        <f>Table1[[#This Row],[Net Sales Units]]/Table1[[#This Row],[Shoe Budget Units]]</f>
        <v>0.43270980437479289</v>
      </c>
      <c r="BK9" s="256">
        <f>Table1[[#This Row],[Net Sales (Units0]]/Table1[[#This Row],[Apparel Budget Units]]</f>
        <v>0.80324709527498128</v>
      </c>
      <c r="BL9" s="284">
        <f>Table1[[#This Row],[Net Sales Units total]]/Table1[[#This Row],[Units]]</f>
        <v>0.46315555555555554</v>
      </c>
      <c r="BM9" s="493">
        <f>ROUND(Table1[[#This Row],[Net Sales Units]]/'Hypotesis Panel'!$G$8,0)</f>
        <v>4468</v>
      </c>
      <c r="BN9" s="426">
        <f>ROUND('Hypotesis Panel'!$G$8/Table1[[#This Row],[ST% Shoes]],0)</f>
        <v>32</v>
      </c>
      <c r="BO9" s="482">
        <f>Table1[[#This Row],[Net Sales (Units0]]/'Hypotesis Panel'!$G$8</f>
        <v>742.5</v>
      </c>
      <c r="BP9" s="426">
        <f>IFERROR(ROUND('Hypotesis Panel'!$G$8/Table1[[#This Row],[ST% Apparel]],0),"NoStock")</f>
        <v>17</v>
      </c>
      <c r="BQ9" s="515">
        <f>IFERROR(ROUND('Hypotesis Panel'!$G$8/Table1[[#This Row],[ST% ToTal]],0),"")</f>
        <v>30</v>
      </c>
      <c r="BR9" s="433">
        <f>Table1[[#This Row],[Expected WoOS Shoes]]-'Hypotesis Panel'!$G$8</f>
        <v>18</v>
      </c>
      <c r="BS9" s="420">
        <f>IFERROR(Table1[[#This Row],[Expected WoOS Apparel]]-'Hypotesis Panel'!$G$8,"")</f>
        <v>3</v>
      </c>
      <c r="BT9" s="435">
        <f>Table1[[#This Row],[Expected WoOS Total]]-'Hypotesis Panel'!$G$8</f>
        <v>16</v>
      </c>
      <c r="BU9" s="478">
        <f>Table1[[#This Row],[WOCoverage Shoes]]+'Hypotesis Panel'!$G$8-'Hypotesis Panel'!$F$3</f>
        <v>6</v>
      </c>
      <c r="BV9" s="497" t="str">
        <f>_xlfn.XLOOKUP(Table1[[#This Row],[WOS at WK26 Shoes]],Table2[Lower Bound],Table2[Action],,-1)</f>
        <v>Overstock</v>
      </c>
      <c r="BW9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9" s="71">
        <f>Table1[[#This Row],[WOC Apparel]]+'Hypotesis Panel'!$G$8-'Hypotesis Panel'!$F$3</f>
        <v>-9</v>
      </c>
      <c r="BY9" s="479" t="str">
        <f>_xlfn.XLOOKUP(Table1[[#This Row],[WOS at WK26 Apparel]],Table2[Lower Bound],Table2[Action],,-1)</f>
        <v>Stock Out Risk</v>
      </c>
      <c r="CA9" s="285">
        <f>ROUND(Table1[[#This Row],[% Budget share]]*'Available Stock'!$H$6,0)</f>
        <v>62786</v>
      </c>
      <c r="CB9" s="475">
        <f>ROUND(Table1[[#This Row],[% Budget share]]*'Available Stock'!$I$6,0)</f>
        <v>37672</v>
      </c>
      <c r="CC9" s="482">
        <f>Table1[[#This Row],[Net Sales (Units0]]/'Hypotesis Panel'!$G$8</f>
        <v>742.5</v>
      </c>
      <c r="CD9" s="285">
        <f>ROUND(Table1[[#This Row],[% Budget share]]*'Available Stock'!$H$7,0)</f>
        <v>9388</v>
      </c>
      <c r="CE9" s="475">
        <f>ROUND(Table1[[#This Row],[% Budget share]]*'Available Stock'!$I$7,0)</f>
        <v>2629</v>
      </c>
      <c r="CF9" s="482" t="e">
        <f>Table1[[#This Row],[Shoes Available Q2 Stock Current Season ]]/#REF!</f>
        <v>#REF!</v>
      </c>
      <c r="CG9" s="285" t="e">
        <f>Table1[[#This Row],[Shoes Available Q2 Stock Old Season]]/#REF!</f>
        <v>#REF!</v>
      </c>
      <c r="CH9" s="285" t="e">
        <f>SUM(Table1[[#This Row],[Q2 Shoes New Stock WOC based on Q1 Sales Velocity]:[Q2 Shoes Old Stock WOC based on Q1 Sales Velocity]])</f>
        <v>#REF!</v>
      </c>
      <c r="CI9" s="285">
        <f>IFERROR(Table1[[#This Row],[Apparel Q2 Available Stock Current Season 2]]/Table1[[#This Row],[Avg Apparel Q1 Weekly Sales2]],"")</f>
        <v>12.643771043771043</v>
      </c>
      <c r="CJ9" s="285">
        <f>IFERROR(Table1[[#This Row],[Apparel Q2Available Stock Old Season3]]/Table1[[#This Row],[Avg Apparel Q1 Weekly Sales2]],"")</f>
        <v>3.5407407407407407</v>
      </c>
      <c r="CK9" s="475">
        <f>SUM(Table1[[#This Row],[Q2 Apparel New Stock WOC based on Q1 Sales Velocity]:[Q2 Apparel Old Stock WOC based on Q1 Sales Velocity]])</f>
        <v>16.184511784511784</v>
      </c>
    </row>
    <row r="10" spans="1:89">
      <c r="A10" s="131" t="s">
        <v>34</v>
      </c>
      <c r="B10" s="122" t="s">
        <v>35</v>
      </c>
      <c r="C10" s="565" t="s">
        <v>31</v>
      </c>
      <c r="D10" s="565" t="str">
        <f>_xlfn.CONCAT(Table1[[#This Row],[Sub Region]:[Account]])</f>
        <v>NorthBeNeLuxField Accounts</v>
      </c>
      <c r="E10" s="565" t="str">
        <f>_xlfn.IFNA(VLOOKUP(Table1[[#This Row],[Account]],'Account Information'!$A$4:$B$18,2,FALSE),"")</f>
        <v>Field Accounts</v>
      </c>
      <c r="F10" s="566">
        <v>6317520</v>
      </c>
      <c r="G10" s="123">
        <v>105600</v>
      </c>
      <c r="H10" s="374">
        <f>Table1[[#This Row],[Units]]/$G$2</f>
        <v>4.3245014128342682E-2</v>
      </c>
      <c r="I10" s="142">
        <f t="shared" si="1"/>
        <v>59.825000000000003</v>
      </c>
      <c r="J10" s="406">
        <f>Table1[[#This Row],[Units]]*(1-'Hypotesis Panel'!$F$46)</f>
        <v>96923.217922606927</v>
      </c>
      <c r="K10" s="406">
        <f>Table1[[#This Row],[Units]]-Table1[[#This Row],[Shoe Budget Units]]</f>
        <v>8676.7820773930725</v>
      </c>
      <c r="L10" s="146">
        <v>3873149</v>
      </c>
      <c r="M10" s="123">
        <v>48600</v>
      </c>
      <c r="N10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60000</v>
      </c>
      <c r="O10" s="397">
        <f>Table1[[#This Row],[Net Sales (€)]]/Table1[[#This Row],[Net Sales Units]]</f>
        <v>64.552483333333328</v>
      </c>
      <c r="P10" s="125">
        <v>6100</v>
      </c>
      <c r="Q10" s="365">
        <f>Table1[[#This Row],[Cancellations (units)]]/Table1[[#This Row],[Pre-Orders Invoiced (units)]]</f>
        <v>0.12551440329218108</v>
      </c>
      <c r="R10" s="123">
        <v>4200</v>
      </c>
      <c r="S10" s="370">
        <f>Table1[[#This Row],[Re-Orders Invoiced (units)]]/Table1[[#This Row],[Pre-Orders Invoiced (units)]]</f>
        <v>8.6419753086419748E-2</v>
      </c>
      <c r="T10" s="123">
        <v>15000</v>
      </c>
      <c r="U10" s="383">
        <f>Table1[[#This Row],[Stock Clearance Invoiced (units)]]/Table1[[#This Row],[Pre-Orders Invoiced (units)]]</f>
        <v>0.30864197530864196</v>
      </c>
      <c r="V10" s="123">
        <v>-1700</v>
      </c>
      <c r="W10" s="374">
        <f>Table1[[#This Row],[Returns Processed (units)]]/Table1[[#This Row],[Pre-Orders Invoiced (units)]]</f>
        <v>-3.4979423868312758E-2</v>
      </c>
      <c r="X10" s="356">
        <v>748052.58</v>
      </c>
      <c r="Y10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20839</v>
      </c>
      <c r="Z10" s="143">
        <f>Table1[[#This Row],[Net Sales (€)2]]/Table1[[#This Row],[Net Sales (Units0]]</f>
        <v>35.896759921301403</v>
      </c>
      <c r="AA10" s="123">
        <v>6804.0000000000009</v>
      </c>
      <c r="AB10" s="125">
        <v>854.00000000000011</v>
      </c>
      <c r="AC10" s="365">
        <f>IFERROR(Table1[[#This Row],[Cancellations (units)4]]/Table1[[#This Row],[Pre-Orders Invoiced (units)3]],0)</f>
        <v>0.12551440329218108</v>
      </c>
      <c r="AD10" s="123">
        <v>234</v>
      </c>
      <c r="AE10" s="368">
        <f>IFERROR(Table1[[#This Row],[Re-Orders Invoiced (units)5]]/Table1[[#This Row],[Pre-Orders Invoiced (units)3]],0)</f>
        <v>3.439153439153439E-2</v>
      </c>
      <c r="AF10" s="123">
        <v>15000</v>
      </c>
      <c r="AG10" s="384">
        <f>IFERROR(Table1[[#This Row],[Stock Clearance Invoiced (units)6]]/Table1[[#This Row],[Pre-Orders Invoiced (units)3]],0)</f>
        <v>2.204585537918871</v>
      </c>
      <c r="AH10" s="123">
        <v>-345</v>
      </c>
      <c r="AI10" s="381">
        <f>IFERROR(Table1[[#This Row],[Returns Processed (units)7]]/Table1[[#This Row],[Pre-Orders Invoiced (units)3]],0)</f>
        <v>-5.0705467372134029E-2</v>
      </c>
      <c r="AJ10" s="392">
        <f>Table1[[#This Row],[Net Sales (€)2]]/Table1[[#This Row],[Net Sales (€)]]</f>
        <v>0.19313808479869995</v>
      </c>
      <c r="AK10" s="412">
        <f>Table1[[#This Row],[Net Sales (Units0]]+Table1[[#This Row],[Net Sales Units]]</f>
        <v>80839</v>
      </c>
      <c r="AL10" s="504">
        <f>Table1[[#This Row],[Net Sales (€)2]]+Table1[[#This Row],[Net Sales (€)]]</f>
        <v>4621201.58</v>
      </c>
      <c r="AM10" s="356">
        <v>33600</v>
      </c>
      <c r="AN10" s="147">
        <v>3564</v>
      </c>
      <c r="AO10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60000</v>
      </c>
      <c r="AP10" s="245">
        <f>Table1[[#This Row],[Net Sales (€)]]/AO10</f>
        <v>64.552483333333328</v>
      </c>
      <c r="AQ10" s="123">
        <f>AA10-+AB10+Table1[[#This Row],[Re-Orders Invoiced (units)5]]+AF10+AH10</f>
        <v>20839</v>
      </c>
      <c r="AR10" s="123">
        <f>IFERROR(Table1[[#This Row],[Net Sales (€)2]]/AQ10,"")</f>
        <v>35.896759921301403</v>
      </c>
      <c r="AS10" s="3"/>
      <c r="AT10" s="91">
        <f t="shared" si="2"/>
        <v>4621201.58</v>
      </c>
      <c r="AU10" s="91">
        <f t="shared" si="3"/>
        <v>4106388</v>
      </c>
      <c r="AV10" s="92">
        <f t="shared" si="4"/>
        <v>0.12536895685453975</v>
      </c>
      <c r="AW10" s="106">
        <f t="shared" si="5"/>
        <v>4.2853593165788781E-2</v>
      </c>
      <c r="AX10" s="155">
        <f t="shared" si="6"/>
        <v>54</v>
      </c>
      <c r="AY10" s="118"/>
      <c r="AZ10" s="107">
        <f>AU10*(1-'SS24 Q2 Data'!$AB$5)</f>
        <v>3768980.4829429737</v>
      </c>
      <c r="BA10" s="92">
        <f t="shared" si="7"/>
        <v>2.7638380598799861E-2</v>
      </c>
      <c r="BB10" s="106">
        <f t="shared" si="8"/>
        <v>4.2853593165788767E-2</v>
      </c>
      <c r="BC10" s="115">
        <f t="shared" si="9"/>
        <v>11.844039179421985</v>
      </c>
      <c r="BD10" s="118"/>
      <c r="BE10" s="107">
        <f>AU10*'SS24 Q2 Data'!$AB$5</f>
        <v>337407.51705702604</v>
      </c>
      <c r="BF10" s="92">
        <f t="shared" si="10"/>
        <v>1.2170596154014253</v>
      </c>
      <c r="BG10" s="106">
        <f t="shared" si="11"/>
        <v>4.2853593165788767E-2</v>
      </c>
      <c r="BH10" s="118">
        <f t="shared" si="12"/>
        <v>521.55377616924022</v>
      </c>
      <c r="BI10" s="118"/>
      <c r="BJ10" s="417">
        <f>Table1[[#This Row],[Net Sales Units]]/Table1[[#This Row],[Shoe Budget Units]]</f>
        <v>0.61904671848503756</v>
      </c>
      <c r="BK10" s="256">
        <f>Table1[[#This Row],[Net Sales (Units0]]/Table1[[#This Row],[Apparel Budget Units]]</f>
        <v>2.4016968288618181</v>
      </c>
      <c r="BL10" s="284">
        <f>Table1[[#This Row],[Net Sales Units total]]/Table1[[#This Row],[Units]]</f>
        <v>0.76552083333333332</v>
      </c>
      <c r="BM10" s="493">
        <f>ROUND(Table1[[#This Row],[Net Sales Units]]/'Hypotesis Panel'!$G$8,0)</f>
        <v>4286</v>
      </c>
      <c r="BN10" s="426">
        <f>ROUND('Hypotesis Panel'!$G$8/Table1[[#This Row],[ST% Shoes]],0)</f>
        <v>23</v>
      </c>
      <c r="BO10" s="482">
        <f>Table1[[#This Row],[Net Sales (Units0]]/'Hypotesis Panel'!$G$8</f>
        <v>1488.5</v>
      </c>
      <c r="BP10" s="426">
        <f>IFERROR(ROUND('Hypotesis Panel'!$G$8/Table1[[#This Row],[ST% Apparel]],0),"NoStock")</f>
        <v>6</v>
      </c>
      <c r="BQ10" s="515">
        <f>IFERROR(ROUND('Hypotesis Panel'!$G$8/Table1[[#This Row],[ST% ToTal]],0),"")</f>
        <v>18</v>
      </c>
      <c r="BR10" s="433">
        <f>Table1[[#This Row],[Expected WoOS Shoes]]-'Hypotesis Panel'!$G$8</f>
        <v>9</v>
      </c>
      <c r="BS10" s="420">
        <f>IFERROR(Table1[[#This Row],[Expected WoOS Apparel]]-'Hypotesis Panel'!$G$8,"")</f>
        <v>-8</v>
      </c>
      <c r="BT10" s="435">
        <f>Table1[[#This Row],[Expected WoOS Total]]-'Hypotesis Panel'!$G$8</f>
        <v>4</v>
      </c>
      <c r="BU10" s="478">
        <f>Table1[[#This Row],[WOCoverage Shoes]]+'Hypotesis Panel'!$G$8-'Hypotesis Panel'!$F$3</f>
        <v>-3</v>
      </c>
      <c r="BV10" s="497" t="str">
        <f>_xlfn.XLOOKUP(Table1[[#This Row],[WOS at WK26 Shoes]],Table2[Lower Bound],Table2[Action],,-1)</f>
        <v>Stock Out Risk</v>
      </c>
      <c r="BW10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-830015.83069999993</v>
      </c>
      <c r="BX10" s="71">
        <f>Table1[[#This Row],[WOC Apparel]]+'Hypotesis Panel'!$G$8-'Hypotesis Panel'!$F$3</f>
        <v>-20</v>
      </c>
      <c r="BY10" s="479" t="str">
        <f>_xlfn.XLOOKUP(Table1[[#This Row],[WOS at WK26 Apparel]],Table2[Lower Bound],Table2[Action],,-1)</f>
        <v>Stock Out Risk</v>
      </c>
      <c r="CA10" s="285">
        <f>ROUND(Table1[[#This Row],[% Budget share]]*'Available Stock'!$H$6,0)</f>
        <v>42096</v>
      </c>
      <c r="CB10" s="475">
        <f>ROUND(Table1[[#This Row],[% Budget share]]*'Available Stock'!$I$6,0)</f>
        <v>25258</v>
      </c>
      <c r="CC10" s="482">
        <f>Table1[[#This Row],[Net Sales (Units0]]/'Hypotesis Panel'!$G$8</f>
        <v>1488.5</v>
      </c>
      <c r="CD10" s="285">
        <f>ROUND(Table1[[#This Row],[% Budget share]]*'Available Stock'!$H$7,0)</f>
        <v>6294</v>
      </c>
      <c r="CE10" s="475">
        <f>ROUND(Table1[[#This Row],[% Budget share]]*'Available Stock'!$I$7,0)</f>
        <v>1762</v>
      </c>
      <c r="CF10" s="482" t="e">
        <f>Table1[[#This Row],[Shoes Available Q2 Stock Current Season ]]/#REF!</f>
        <v>#REF!</v>
      </c>
      <c r="CG10" s="285" t="e">
        <f>Table1[[#This Row],[Shoes Available Q2 Stock Old Season]]/#REF!</f>
        <v>#REF!</v>
      </c>
      <c r="CH10" s="285" t="e">
        <f>SUM(Table1[[#This Row],[Q2 Shoes New Stock WOC based on Q1 Sales Velocity]:[Q2 Shoes Old Stock WOC based on Q1 Sales Velocity]])</f>
        <v>#REF!</v>
      </c>
      <c r="CI10" s="285">
        <f>IFERROR(Table1[[#This Row],[Apparel Q2 Available Stock Current Season 2]]/Table1[[#This Row],[Avg Apparel Q1 Weekly Sales2]],"")</f>
        <v>4.2284178703392676</v>
      </c>
      <c r="CJ10" s="285">
        <f>IFERROR(Table1[[#This Row],[Apparel Q2Available Stock Old Season3]]/Table1[[#This Row],[Avg Apparel Q1 Weekly Sales2]],"")</f>
        <v>1.1837420221699697</v>
      </c>
      <c r="CK10" s="475">
        <f>SUM(Table1[[#This Row],[Q2 Apparel New Stock WOC based on Q1 Sales Velocity]:[Q2 Apparel Old Stock WOC based on Q1 Sales Velocity]])</f>
        <v>5.4121598925092371</v>
      </c>
    </row>
    <row r="11" spans="1:89">
      <c r="A11" s="130" t="s">
        <v>29</v>
      </c>
      <c r="B11" s="122" t="s">
        <v>30</v>
      </c>
      <c r="C11" s="141" t="s">
        <v>74</v>
      </c>
      <c r="D11" s="283" t="str">
        <f>_xlfn.CONCAT(Table1[[#This Row],[Sub Region]:[Account]])</f>
        <v xml:space="preserve">CentralGermanyHanover &amp; Hearth </v>
      </c>
      <c r="E11" s="127" t="str">
        <f>_xlfn.IFNA(VLOOKUP(Table1[[#This Row],[Account]],'Account Information'!$A$4:$B$18,2,FALSE),"")</f>
        <v>Lifestyle / Sport</v>
      </c>
      <c r="F11" s="124">
        <v>5464828.25</v>
      </c>
      <c r="G11" s="123">
        <v>103300</v>
      </c>
      <c r="H11" s="374">
        <f>Table1[[#This Row],[Units]]/$G$2</f>
        <v>4.2303124616077645E-2</v>
      </c>
      <c r="I11" s="142">
        <f t="shared" si="1"/>
        <v>52.902500000000003</v>
      </c>
      <c r="J11" s="406">
        <f>Table1[[#This Row],[Units]]*(1-'Hypotesis Panel'!$F$46)</f>
        <v>94812.200865580453</v>
      </c>
      <c r="K11" s="406">
        <f>Table1[[#This Row],[Units]]-Table1[[#This Row],[Shoe Budget Units]]</f>
        <v>8487.799134419547</v>
      </c>
      <c r="L11" s="146">
        <v>3075537.125</v>
      </c>
      <c r="M11" s="123">
        <v>54600</v>
      </c>
      <c r="N11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50323</v>
      </c>
      <c r="O11" s="397">
        <f>Table1[[#This Row],[Net Sales (€)]]/Table1[[#This Row],[Net Sales Units]]</f>
        <v>61.115933569143337</v>
      </c>
      <c r="P11" s="125">
        <v>4123</v>
      </c>
      <c r="Q11" s="365">
        <f>Table1[[#This Row],[Cancellations (units)]]/Table1[[#This Row],[Pre-Orders Invoiced (units)]]</f>
        <v>7.5512820512820517E-2</v>
      </c>
      <c r="R11" s="123">
        <v>2567</v>
      </c>
      <c r="S11" s="370">
        <f>Table1[[#This Row],[Re-Orders Invoiced (units)]]/Table1[[#This Row],[Pre-Orders Invoiced (units)]]</f>
        <v>4.7014652014652013E-2</v>
      </c>
      <c r="T11" s="123">
        <v>734</v>
      </c>
      <c r="U11" s="370">
        <f>Table1[[#This Row],[Stock Clearance Invoiced (units)]]/Table1[[#This Row],[Pre-Orders Invoiced (units)]]</f>
        <v>1.3443223443223443E-2</v>
      </c>
      <c r="V11" s="123">
        <v>-3455</v>
      </c>
      <c r="W11" s="374">
        <f>Table1[[#This Row],[Returns Processed (units)]]/Table1[[#This Row],[Pre-Orders Invoiced (units)]]</f>
        <v>-6.3278388278388276E-2</v>
      </c>
      <c r="X11" s="356">
        <v>566532.48699999996</v>
      </c>
      <c r="Y11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11187.5</v>
      </c>
      <c r="Z11" s="143">
        <f>Table1[[#This Row],[Net Sales (€)2]]/Table1[[#This Row],[Net Sales (Units0]]</f>
        <v>50.639775374301671</v>
      </c>
      <c r="AA11" s="123">
        <v>13650</v>
      </c>
      <c r="AB11" s="125">
        <v>2345</v>
      </c>
      <c r="AC11" s="365">
        <f>IFERROR(Table1[[#This Row],[Cancellations (units)4]]/Table1[[#This Row],[Pre-Orders Invoiced (units)3]],0)</f>
        <v>0.1717948717948718</v>
      </c>
      <c r="AD11" s="123">
        <v>682.5</v>
      </c>
      <c r="AE11" s="368">
        <f>IFERROR(Table1[[#This Row],[Re-Orders Invoiced (units)5]]/Table1[[#This Row],[Pre-Orders Invoiced (units)3]],0)</f>
        <v>0.05</v>
      </c>
      <c r="AF11" s="123">
        <v>734</v>
      </c>
      <c r="AG11" s="368">
        <f>IFERROR(Table1[[#This Row],[Stock Clearance Invoiced (units)6]]/Table1[[#This Row],[Pre-Orders Invoiced (units)3]],0)</f>
        <v>5.3772893772893772E-2</v>
      </c>
      <c r="AH11" s="123">
        <v>-1534</v>
      </c>
      <c r="AI11" s="391">
        <f>IFERROR(Table1[[#This Row],[Returns Processed (units)7]]/Table1[[#This Row],[Pre-Orders Invoiced (units)3]],0)</f>
        <v>-0.11238095238095239</v>
      </c>
      <c r="AJ11" s="392">
        <f>Table1[[#This Row],[Net Sales (€)2]]/Table1[[#This Row],[Net Sales (€)]]</f>
        <v>0.18420603100344626</v>
      </c>
      <c r="AK11" s="412">
        <f>Table1[[#This Row],[Net Sales (Units0]]+Table1[[#This Row],[Net Sales Units]]</f>
        <v>61510.5</v>
      </c>
      <c r="AL11" s="504">
        <f>Table1[[#This Row],[Net Sales (€)2]]+Table1[[#This Row],[Net Sales (€)]]</f>
        <v>3642069.6119999997</v>
      </c>
      <c r="AM11" s="356">
        <v>14800</v>
      </c>
      <c r="AN11" s="147">
        <v>4095</v>
      </c>
      <c r="AO11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50323</v>
      </c>
      <c r="AP11" s="245">
        <f>Table1[[#This Row],[Net Sales (€)]]/AO11</f>
        <v>61.115933569143337</v>
      </c>
      <c r="AQ11" s="123">
        <f>AA11-+AB11+Table1[[#This Row],[Re-Orders Invoiced (units)5]]+AF11+AH11</f>
        <v>11187.5</v>
      </c>
      <c r="AR11" s="123">
        <f>IFERROR(Table1[[#This Row],[Net Sales (€)2]]/AQ11,"")</f>
        <v>50.639775374301671</v>
      </c>
      <c r="AS11" s="3"/>
      <c r="AT11" s="91">
        <f t="shared" si="2"/>
        <v>3642069.6119999997</v>
      </c>
      <c r="AU11" s="91">
        <f t="shared" si="3"/>
        <v>3552138.3625000003</v>
      </c>
      <c r="AV11" s="92">
        <f t="shared" si="4"/>
        <v>2.531749620155721E-2</v>
      </c>
      <c r="AW11" s="106">
        <f t="shared" si="5"/>
        <v>3.7069534650687214E-2</v>
      </c>
      <c r="AX11" s="155">
        <f t="shared" si="6"/>
        <v>9</v>
      </c>
      <c r="AY11" s="118"/>
      <c r="AZ11" s="107">
        <f>AU11*(1-'SS24 Q2 Data'!$AB$5)</f>
        <v>3260271.5965893907</v>
      </c>
      <c r="BA11" s="92">
        <f t="shared" si="7"/>
        <v>-5.6662295185052614E-2</v>
      </c>
      <c r="BB11" s="106">
        <f t="shared" si="8"/>
        <v>3.70695346506872E-2</v>
      </c>
      <c r="BC11" s="115">
        <f t="shared" si="9"/>
        <v>-21.004449147497745</v>
      </c>
      <c r="BD11" s="118"/>
      <c r="BE11" s="107">
        <f>AU11*'SS24 Q2 Data'!$AB$5</f>
        <v>291866.76591060939</v>
      </c>
      <c r="BF11" s="92">
        <f t="shared" si="10"/>
        <v>0.94106542152014994</v>
      </c>
      <c r="BG11" s="106">
        <f t="shared" si="11"/>
        <v>3.7069534650687207E-2</v>
      </c>
      <c r="BH11" s="118">
        <f t="shared" si="12"/>
        <v>348.84857251604762</v>
      </c>
      <c r="BI11" s="118"/>
      <c r="BJ11" s="417">
        <f>Table1[[#This Row],[Net Sales Units]]/Table1[[#This Row],[Shoe Budget Units]]</f>
        <v>0.53076502328371422</v>
      </c>
      <c r="BK11" s="256">
        <f>Table1[[#This Row],[Net Sales (Units0]]/Table1[[#This Row],[Apparel Budget Units]]</f>
        <v>1.318068420661922</v>
      </c>
      <c r="BL11" s="284">
        <f>Table1[[#This Row],[Net Sales Units total]]/Table1[[#This Row],[Units]]</f>
        <v>0.59545498547918685</v>
      </c>
      <c r="BM11" s="493">
        <f>ROUND(Table1[[#This Row],[Net Sales Units]]/'Hypotesis Panel'!$G$8,0)</f>
        <v>3595</v>
      </c>
      <c r="BN11" s="426">
        <f>ROUND('Hypotesis Panel'!$G$8/Table1[[#This Row],[ST% Shoes]],0)</f>
        <v>26</v>
      </c>
      <c r="BO11" s="482">
        <f>Table1[[#This Row],[Net Sales (Units0]]/'Hypotesis Panel'!$G$8</f>
        <v>799.10714285714289</v>
      </c>
      <c r="BP11" s="426">
        <f>IFERROR(ROUND('Hypotesis Panel'!$G$8/Table1[[#This Row],[ST% Apparel]],0),"NoStock")</f>
        <v>11</v>
      </c>
      <c r="BQ11" s="515">
        <f>IFERROR(ROUND('Hypotesis Panel'!$G$8/Table1[[#This Row],[ST% ToTal]],0),"")</f>
        <v>24</v>
      </c>
      <c r="BR11" s="433">
        <f>Table1[[#This Row],[Expected WoOS Shoes]]-'Hypotesis Panel'!$G$8</f>
        <v>12</v>
      </c>
      <c r="BS11" s="420">
        <f>IFERROR(Table1[[#This Row],[Expected WoOS Apparel]]-'Hypotesis Panel'!$G$8,"")</f>
        <v>-3</v>
      </c>
      <c r="BT11" s="435">
        <f>Table1[[#This Row],[Expected WoOS Total]]-'Hypotesis Panel'!$G$8</f>
        <v>10</v>
      </c>
      <c r="BU11" s="478">
        <f>Table1[[#This Row],[WOCoverage Shoes]]+'Hypotesis Panel'!$G$8-'Hypotesis Panel'!$F$3</f>
        <v>0</v>
      </c>
      <c r="BV11" s="497" t="str">
        <f>_xlfn.XLOOKUP(Table1[[#This Row],[WOS at WK26 Shoes]],Table2[Lower Bound],Table2[Action],,-1)</f>
        <v>Monitor</v>
      </c>
      <c r="BW11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11" s="71">
        <f>Table1[[#This Row],[WOC Apparel]]+'Hypotesis Panel'!$G$8-'Hypotesis Panel'!$F$3</f>
        <v>-15</v>
      </c>
      <c r="BY11" s="479" t="str">
        <f>_xlfn.XLOOKUP(Table1[[#This Row],[WOS at WK26 Apparel]],Table2[Lower Bound],Table2[Action],,-1)</f>
        <v>Stock Out Risk</v>
      </c>
      <c r="CA11" s="285">
        <f>ROUND(Table1[[#This Row],[% Budget share]]*'Available Stock'!$H$6,0)</f>
        <v>41180</v>
      </c>
      <c r="CB11" s="475">
        <f>ROUND(Table1[[#This Row],[% Budget share]]*'Available Stock'!$I$6,0)</f>
        <v>24708</v>
      </c>
      <c r="CC11" s="482">
        <f>Table1[[#This Row],[Net Sales (Units0]]/'Hypotesis Panel'!$G$8</f>
        <v>799.10714285714289</v>
      </c>
      <c r="CD11" s="285">
        <f>ROUND(Table1[[#This Row],[% Budget share]]*'Available Stock'!$H$7,0)</f>
        <v>6157</v>
      </c>
      <c r="CE11" s="475">
        <f>ROUND(Table1[[#This Row],[% Budget share]]*'Available Stock'!$I$7,0)</f>
        <v>1724</v>
      </c>
      <c r="CF11" s="482" t="e">
        <f>Table1[[#This Row],[Shoes Available Q2 Stock Current Season ]]/#REF!</f>
        <v>#REF!</v>
      </c>
      <c r="CG11" s="285" t="e">
        <f>Table1[[#This Row],[Shoes Available Q2 Stock Old Season]]/#REF!</f>
        <v>#REF!</v>
      </c>
      <c r="CH11" s="285" t="e">
        <f>SUM(Table1[[#This Row],[Q2 Shoes New Stock WOC based on Q1 Sales Velocity]:[Q2 Shoes Old Stock WOC based on Q1 Sales Velocity]])</f>
        <v>#REF!</v>
      </c>
      <c r="CI11" s="285">
        <f>IFERROR(Table1[[#This Row],[Apparel Q2 Available Stock Current Season 2]]/Table1[[#This Row],[Avg Apparel Q1 Weekly Sales2]],"")</f>
        <v>7.7048491620111728</v>
      </c>
      <c r="CJ11" s="285">
        <f>IFERROR(Table1[[#This Row],[Apparel Q2Available Stock Old Season3]]/Table1[[#This Row],[Avg Apparel Q1 Weekly Sales2]],"")</f>
        <v>2.1574078212290502</v>
      </c>
      <c r="CK11" s="475">
        <f>SUM(Table1[[#This Row],[Q2 Apparel New Stock WOC based on Q1 Sales Velocity]:[Q2 Apparel Old Stock WOC based on Q1 Sales Velocity]])</f>
        <v>9.862256983240222</v>
      </c>
    </row>
    <row r="12" spans="1:89">
      <c r="A12" s="131" t="s">
        <v>46</v>
      </c>
      <c r="B12" s="122" t="s">
        <v>47</v>
      </c>
      <c r="C12" s="565" t="s">
        <v>31</v>
      </c>
      <c r="D12" s="565" t="str">
        <f>_xlfn.CONCAT(Table1[[#This Row],[Sub Region]:[Account]])</f>
        <v>SouthSpainField Accounts</v>
      </c>
      <c r="E12" s="565" t="str">
        <f>_xlfn.IFNA(VLOOKUP(Table1[[#This Row],[Account]],'Account Information'!$A$4:$B$18,2,FALSE),"")</f>
        <v>Field Accounts</v>
      </c>
      <c r="F12" s="566">
        <v>6067988.4199999999</v>
      </c>
      <c r="G12" s="123">
        <v>102700</v>
      </c>
      <c r="H12" s="374">
        <f>Table1[[#This Row],[Units]]/$G$2</f>
        <v>4.2057414308530244E-2</v>
      </c>
      <c r="I12" s="142">
        <f t="shared" si="1"/>
        <v>59.084600000000002</v>
      </c>
      <c r="J12" s="406">
        <f>Table1[[#This Row],[Units]]*(1-'Hypotesis Panel'!$F$46)</f>
        <v>94261.500763747463</v>
      </c>
      <c r="K12" s="406">
        <f>Table1[[#This Row],[Units]]-Table1[[#This Row],[Shoe Budget Units]]</f>
        <v>8438.4992362525372</v>
      </c>
      <c r="L12" s="146">
        <v>3055283.4</v>
      </c>
      <c r="M12" s="123">
        <v>39300</v>
      </c>
      <c r="N12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45000</v>
      </c>
      <c r="O12" s="397">
        <f>Table1[[#This Row],[Net Sales (€)]]/Table1[[#This Row],[Net Sales Units]]</f>
        <v>67.89518666666666</v>
      </c>
      <c r="P12" s="125">
        <v>3100</v>
      </c>
      <c r="Q12" s="365">
        <f>Table1[[#This Row],[Cancellations (units)]]/Table1[[#This Row],[Pre-Orders Invoiced (units)]]</f>
        <v>7.8880407124681931E-2</v>
      </c>
      <c r="R12" s="123">
        <v>9400</v>
      </c>
      <c r="S12" s="370">
        <f>Table1[[#This Row],[Re-Orders Invoiced (units)]]/Table1[[#This Row],[Pre-Orders Invoiced (units)]]</f>
        <v>0.23918575063613232</v>
      </c>
      <c r="T12" s="123">
        <v>100</v>
      </c>
      <c r="U12" s="370">
        <f>Table1[[#This Row],[Stock Clearance Invoiced (units)]]/Table1[[#This Row],[Pre-Orders Invoiced (units)]]</f>
        <v>2.5445292620865142E-3</v>
      </c>
      <c r="V12" s="123">
        <v>-700</v>
      </c>
      <c r="W12" s="374">
        <f>Table1[[#This Row],[Returns Processed (units)]]/Table1[[#This Row],[Pre-Orders Invoiced (units)]]</f>
        <v>-1.7811704834605598E-2</v>
      </c>
      <c r="X12" s="356">
        <v>219582.07900000003</v>
      </c>
      <c r="Y12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4971.0000000000009</v>
      </c>
      <c r="Z12" s="143">
        <f>Table1[[#This Row],[Net Sales (€)2]]/Table1[[#This Row],[Net Sales (Units0]]</f>
        <v>44.172616978475155</v>
      </c>
      <c r="AA12" s="123">
        <v>5502.0000000000009</v>
      </c>
      <c r="AB12" s="125">
        <v>654</v>
      </c>
      <c r="AC12" s="365">
        <f>IFERROR(Table1[[#This Row],[Cancellations (units)4]]/Table1[[#This Row],[Pre-Orders Invoiced (units)3]],0)</f>
        <v>0.11886586695746999</v>
      </c>
      <c r="AD12" s="123">
        <v>23</v>
      </c>
      <c r="AE12" s="368">
        <f>IFERROR(Table1[[#This Row],[Re-Orders Invoiced (units)5]]/Table1[[#This Row],[Pre-Orders Invoiced (units)3]],0)</f>
        <v>4.1802980734278435E-3</v>
      </c>
      <c r="AF12" s="123">
        <v>100</v>
      </c>
      <c r="AG12" s="368">
        <f>IFERROR(Table1[[#This Row],[Stock Clearance Invoiced (units)6]]/Table1[[#This Row],[Pre-Orders Invoiced (units)3]],0)</f>
        <v>1.817520901490367E-2</v>
      </c>
      <c r="AH12" s="123">
        <v>0</v>
      </c>
      <c r="AI12" s="381">
        <f>IFERROR(Table1[[#This Row],[Returns Processed (units)7]]/Table1[[#This Row],[Pre-Orders Invoiced (units)3]],0)</f>
        <v>0</v>
      </c>
      <c r="AJ12" s="393">
        <f>Table1[[#This Row],[Net Sales (€)2]]/Table1[[#This Row],[Net Sales (€)]]</f>
        <v>7.1869627216905652E-2</v>
      </c>
      <c r="AK12" s="412">
        <f>Table1[[#This Row],[Net Sales (Units0]]+Table1[[#This Row],[Net Sales Units]]</f>
        <v>49971</v>
      </c>
      <c r="AL12" s="504">
        <f>Table1[[#This Row],[Net Sales (€)2]]+Table1[[#This Row],[Net Sales (€)]]</f>
        <v>3274865.4789999998</v>
      </c>
      <c r="AM12" s="356">
        <v>20200</v>
      </c>
      <c r="AN12" s="147">
        <v>1675</v>
      </c>
      <c r="AO12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45000</v>
      </c>
      <c r="AP12" s="245">
        <f>Table1[[#This Row],[Net Sales (€)]]/AO12</f>
        <v>67.89518666666666</v>
      </c>
      <c r="AQ12" s="123">
        <f>AA12-+AB12+Table1[[#This Row],[Re-Orders Invoiced (units)5]]+AF12+AH12</f>
        <v>4971.0000000000009</v>
      </c>
      <c r="AR12" s="123">
        <f>IFERROR(Table1[[#This Row],[Net Sales (€)2]]/AQ12,"")</f>
        <v>44.172616978475155</v>
      </c>
      <c r="AS12" s="3"/>
      <c r="AT12" s="91">
        <f t="shared" si="2"/>
        <v>3274865.4789999998</v>
      </c>
      <c r="AU12" s="91">
        <f t="shared" si="3"/>
        <v>3944192.4730000002</v>
      </c>
      <c r="AV12" s="92">
        <f t="shared" si="4"/>
        <v>-0.16969937410049929</v>
      </c>
      <c r="AW12" s="106">
        <f t="shared" si="5"/>
        <v>4.1160947188991485E-2</v>
      </c>
      <c r="AX12" s="155">
        <f t="shared" si="6"/>
        <v>-70</v>
      </c>
      <c r="AY12" s="118"/>
      <c r="AZ12" s="107">
        <f>AU12*(1-'SS24 Q2 Data'!$AB$5)</f>
        <v>3620111.9942167141</v>
      </c>
      <c r="BA12" s="92">
        <f t="shared" si="7"/>
        <v>-0.15602517135355265</v>
      </c>
      <c r="BB12" s="106">
        <f t="shared" si="8"/>
        <v>4.1160947188991472E-2</v>
      </c>
      <c r="BC12" s="115">
        <f t="shared" si="9"/>
        <v>-64.221438382369257</v>
      </c>
      <c r="BD12" s="118"/>
      <c r="BE12" s="107">
        <f>AU12*'SS24 Q2 Data'!$AB$5</f>
        <v>324080.47878328623</v>
      </c>
      <c r="BF12" s="92">
        <f t="shared" si="10"/>
        <v>-0.32244583251546188</v>
      </c>
      <c r="BG12" s="106">
        <f t="shared" si="11"/>
        <v>4.1160947188991472E-2</v>
      </c>
      <c r="BH12" s="118">
        <f t="shared" si="12"/>
        <v>-132.72175883479318</v>
      </c>
      <c r="BI12" s="118"/>
      <c r="BJ12" s="417">
        <f>Table1[[#This Row],[Net Sales Units]]/Table1[[#This Row],[Shoe Budget Units]]</f>
        <v>0.47739532720559857</v>
      </c>
      <c r="BK12" s="256">
        <f>Table1[[#This Row],[Net Sales (Units0]]/Table1[[#This Row],[Apparel Budget Units]]</f>
        <v>0.58908579130328609</v>
      </c>
      <c r="BL12" s="284">
        <f>Table1[[#This Row],[Net Sales Units total]]/Table1[[#This Row],[Units]]</f>
        <v>0.48657254138266798</v>
      </c>
      <c r="BM12" s="493">
        <f>ROUND(Table1[[#This Row],[Net Sales Units]]/'Hypotesis Panel'!$G$8,0)</f>
        <v>3214</v>
      </c>
      <c r="BN12" s="426">
        <f>ROUND('Hypotesis Panel'!$G$8/Table1[[#This Row],[ST% Shoes]],0)</f>
        <v>29</v>
      </c>
      <c r="BO12" s="482">
        <f>Table1[[#This Row],[Net Sales (Units0]]/'Hypotesis Panel'!$G$8</f>
        <v>355.07142857142861</v>
      </c>
      <c r="BP12" s="426">
        <f>IFERROR(ROUND('Hypotesis Panel'!$G$8/Table1[[#This Row],[ST% Apparel]],0),"NoStock")</f>
        <v>24</v>
      </c>
      <c r="BQ12" s="515">
        <f>IFERROR(ROUND('Hypotesis Panel'!$G$8/Table1[[#This Row],[ST% ToTal]],0),"")</f>
        <v>29</v>
      </c>
      <c r="BR12" s="433">
        <f>Table1[[#This Row],[Expected WoOS Shoes]]-'Hypotesis Panel'!$G$8</f>
        <v>15</v>
      </c>
      <c r="BS12" s="420">
        <f>IFERROR(Table1[[#This Row],[Expected WoOS Apparel]]-'Hypotesis Panel'!$G$8,"")</f>
        <v>10</v>
      </c>
      <c r="BT12" s="435">
        <f>Table1[[#This Row],[Expected WoOS Total]]-'Hypotesis Panel'!$G$8</f>
        <v>15</v>
      </c>
      <c r="BU12" s="478">
        <f>Table1[[#This Row],[WOCoverage Shoes]]+'Hypotesis Panel'!$G$8-'Hypotesis Panel'!$F$3</f>
        <v>3</v>
      </c>
      <c r="BV12" s="497" t="str">
        <f>_xlfn.XLOOKUP(Table1[[#This Row],[WOS at WK26 Shoes]],Table2[Lower Bound],Table2[Action],,-1)</f>
        <v>Monitor</v>
      </c>
      <c r="BW12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12" s="71">
        <f>Table1[[#This Row],[WOC Apparel]]+'Hypotesis Panel'!$G$8-'Hypotesis Panel'!$F$3</f>
        <v>-2</v>
      </c>
      <c r="BY12" s="479" t="str">
        <f>_xlfn.XLOOKUP(Table1[[#This Row],[WOS at WK26 Apparel]],Table2[Lower Bound],Table2[Action],,-1)</f>
        <v>Stock Out Risk</v>
      </c>
      <c r="CA12" s="285">
        <f>ROUND(Table1[[#This Row],[% Budget share]]*'Available Stock'!$H$6,0)</f>
        <v>40940</v>
      </c>
      <c r="CB12" s="475">
        <f>ROUND(Table1[[#This Row],[% Budget share]]*'Available Stock'!$I$6,0)</f>
        <v>24564</v>
      </c>
      <c r="CC12" s="482">
        <f>Table1[[#This Row],[Net Sales (Units0]]/'Hypotesis Panel'!$G$8</f>
        <v>355.07142857142861</v>
      </c>
      <c r="CD12" s="285">
        <f>ROUND(Table1[[#This Row],[% Budget share]]*'Available Stock'!$H$7,0)</f>
        <v>6122</v>
      </c>
      <c r="CE12" s="475">
        <f>ROUND(Table1[[#This Row],[% Budget share]]*'Available Stock'!$I$7,0)</f>
        <v>1714</v>
      </c>
      <c r="CF12" s="482" t="e">
        <f>Table1[[#This Row],[Shoes Available Q2 Stock Current Season ]]/#REF!</f>
        <v>#REF!</v>
      </c>
      <c r="CG12" s="285" t="e">
        <f>Table1[[#This Row],[Shoes Available Q2 Stock Old Season]]/#REF!</f>
        <v>#REF!</v>
      </c>
      <c r="CH12" s="285" t="e">
        <f>SUM(Table1[[#This Row],[Q2 Shoes New Stock WOC based on Q1 Sales Velocity]:[Q2 Shoes Old Stock WOC based on Q1 Sales Velocity]])</f>
        <v>#REF!</v>
      </c>
      <c r="CI12" s="285">
        <f>IFERROR(Table1[[#This Row],[Apparel Q2 Available Stock Current Season 2]]/Table1[[#This Row],[Avg Apparel Q1 Weekly Sales2]],"")</f>
        <v>17.241601287467308</v>
      </c>
      <c r="CJ12" s="285">
        <f>IFERROR(Table1[[#This Row],[Apparel Q2Available Stock Old Season3]]/Table1[[#This Row],[Avg Apparel Q1 Weekly Sales2]],"")</f>
        <v>4.8271977469322058</v>
      </c>
      <c r="CK12" s="475">
        <f>SUM(Table1[[#This Row],[Q2 Apparel New Stock WOC based on Q1 Sales Velocity]:[Q2 Apparel Old Stock WOC based on Q1 Sales Velocity]])</f>
        <v>22.068799034399515</v>
      </c>
    </row>
    <row r="13" spans="1:89">
      <c r="A13" s="131" t="s">
        <v>34</v>
      </c>
      <c r="B13" s="122" t="s">
        <v>37</v>
      </c>
      <c r="C13" s="565" t="s">
        <v>31</v>
      </c>
      <c r="D13" s="565" t="str">
        <f>_xlfn.CONCAT(Table1[[#This Row],[Sub Region]:[Account]])</f>
        <v>NorthFranceField Accounts</v>
      </c>
      <c r="E13" s="565" t="str">
        <f>_xlfn.IFNA(VLOOKUP(Table1[[#This Row],[Account]],'Account Information'!$A$4:$B$18,2,FALSE),"")</f>
        <v>Field Accounts</v>
      </c>
      <c r="F13" s="566">
        <v>7911060.0000000009</v>
      </c>
      <c r="G13" s="123">
        <v>118500</v>
      </c>
      <c r="H13" s="374">
        <f>Table1[[#This Row],[Units]]/$G$2</f>
        <v>4.8527785740611819E-2</v>
      </c>
      <c r="I13" s="142">
        <f t="shared" si="1"/>
        <v>66.760000000000005</v>
      </c>
      <c r="J13" s="406">
        <f>Table1[[#This Row],[Units]]*(1-'Hypotesis Panel'!$F$46)</f>
        <v>108763.2701120163</v>
      </c>
      <c r="K13" s="406">
        <f>Table1[[#This Row],[Units]]-Table1[[#This Row],[Shoe Budget Units]]</f>
        <v>9736.7298879837035</v>
      </c>
      <c r="L13" s="146">
        <v>3287347.1999999997</v>
      </c>
      <c r="M13" s="123">
        <v>39300</v>
      </c>
      <c r="N13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40000</v>
      </c>
      <c r="O13" s="397">
        <f>Table1[[#This Row],[Net Sales (€)]]/Table1[[#This Row],[Net Sales Units]]</f>
        <v>82.183679999999995</v>
      </c>
      <c r="P13" s="125">
        <v>6300</v>
      </c>
      <c r="Q13" s="365">
        <f>Table1[[#This Row],[Cancellations (units)]]/Table1[[#This Row],[Pre-Orders Invoiced (units)]]</f>
        <v>0.16030534351145037</v>
      </c>
      <c r="R13" s="123">
        <v>5600</v>
      </c>
      <c r="S13" s="370">
        <f>Table1[[#This Row],[Re-Orders Invoiced (units)]]/Table1[[#This Row],[Pre-Orders Invoiced (units)]]</f>
        <v>0.14249363867684478</v>
      </c>
      <c r="T13" s="123">
        <v>2600</v>
      </c>
      <c r="U13" s="370">
        <f>Table1[[#This Row],[Stock Clearance Invoiced (units)]]/Table1[[#This Row],[Pre-Orders Invoiced (units)]]</f>
        <v>6.6157760814249358E-2</v>
      </c>
      <c r="V13" s="123">
        <v>-1200</v>
      </c>
      <c r="W13" s="374">
        <f>Table1[[#This Row],[Returns Processed (units)]]/Table1[[#This Row],[Pre-Orders Invoiced (units)]]</f>
        <v>-3.0534351145038167E-2</v>
      </c>
      <c r="X13" s="356">
        <v>468849.66000000003</v>
      </c>
      <c r="Y13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10111</v>
      </c>
      <c r="Z13" s="143">
        <f>Table1[[#This Row],[Net Sales (€)2]]/Table1[[#This Row],[Net Sales (Units0]]</f>
        <v>46.370256156661064</v>
      </c>
      <c r="AA13" s="123">
        <v>7860</v>
      </c>
      <c r="AB13" s="125">
        <v>345</v>
      </c>
      <c r="AC13" s="365">
        <f>IFERROR(Table1[[#This Row],[Cancellations (units)4]]/Table1[[#This Row],[Pre-Orders Invoiced (units)3]],0)</f>
        <v>4.3893129770992363E-2</v>
      </c>
      <c r="AD13" s="123">
        <v>230</v>
      </c>
      <c r="AE13" s="368">
        <f>IFERROR(Table1[[#This Row],[Re-Orders Invoiced (units)5]]/Table1[[#This Row],[Pre-Orders Invoiced (units)3]],0)</f>
        <v>2.9262086513994912E-2</v>
      </c>
      <c r="AF13" s="123">
        <v>2600</v>
      </c>
      <c r="AG13" s="368">
        <f>IFERROR(Table1[[#This Row],[Stock Clearance Invoiced (units)6]]/Table1[[#This Row],[Pre-Orders Invoiced (units)3]],0)</f>
        <v>0.33078880407124683</v>
      </c>
      <c r="AH13" s="123">
        <v>-234</v>
      </c>
      <c r="AI13" s="381">
        <f>IFERROR(Table1[[#This Row],[Returns Processed (units)7]]/Table1[[#This Row],[Pre-Orders Invoiced (units)3]],0)</f>
        <v>-2.9770992366412213E-2</v>
      </c>
      <c r="AJ13" s="393">
        <f>Table1[[#This Row],[Net Sales (€)2]]/Table1[[#This Row],[Net Sales (€)]]</f>
        <v>0.14262249512311936</v>
      </c>
      <c r="AK13" s="412">
        <f>Table1[[#This Row],[Net Sales (Units0]]+Table1[[#This Row],[Net Sales Units]]</f>
        <v>50111</v>
      </c>
      <c r="AL13" s="504">
        <f>Table1[[#This Row],[Net Sales (€)2]]+Table1[[#This Row],[Net Sales (€)]]</f>
        <v>3756196.86</v>
      </c>
      <c r="AM13" s="356">
        <v>21000</v>
      </c>
      <c r="AN13" s="147">
        <v>1238</v>
      </c>
      <c r="AO13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40000</v>
      </c>
      <c r="AP13" s="245">
        <f>Table1[[#This Row],[Net Sales (€)]]/AO13</f>
        <v>82.183679999999995</v>
      </c>
      <c r="AQ13" s="123">
        <f>AA13-+AB13+Table1[[#This Row],[Re-Orders Invoiced (units)5]]+AF13+AH13</f>
        <v>10111</v>
      </c>
      <c r="AR13" s="123">
        <f>IFERROR(Table1[[#This Row],[Net Sales (€)2]]/AQ13,"")</f>
        <v>46.370256156661064</v>
      </c>
      <c r="AS13" s="3"/>
      <c r="AT13" s="91">
        <f t="shared" si="2"/>
        <v>3756196.86</v>
      </c>
      <c r="AU13" s="91">
        <f t="shared" si="3"/>
        <v>5142189.0000000009</v>
      </c>
      <c r="AV13" s="92">
        <f t="shared" si="4"/>
        <v>-0.26953348855905546</v>
      </c>
      <c r="AW13" s="106">
        <f t="shared" si="5"/>
        <v>5.3663042895019733E-2</v>
      </c>
      <c r="AX13" s="155">
        <f t="shared" si="6"/>
        <v>-145</v>
      </c>
      <c r="AY13" s="118"/>
      <c r="AZ13" s="107">
        <f>AU13*(1-'SS24 Q2 Data'!$AB$5)</f>
        <v>4719673.3432408366</v>
      </c>
      <c r="BA13" s="92">
        <f t="shared" si="7"/>
        <v>-0.30347993157028708</v>
      </c>
      <c r="BB13" s="106">
        <f t="shared" si="8"/>
        <v>5.3663042895019719E-2</v>
      </c>
      <c r="BC13" s="115">
        <f t="shared" si="9"/>
        <v>-162.85656585633964</v>
      </c>
      <c r="BD13" s="118"/>
      <c r="BE13" s="107">
        <f>AU13*'SS24 Q2 Data'!$AB$5</f>
        <v>422515.65675916447</v>
      </c>
      <c r="BF13" s="92">
        <f t="shared" si="10"/>
        <v>0.10966221606137094</v>
      </c>
      <c r="BG13" s="106">
        <f t="shared" si="11"/>
        <v>5.3663042895019712E-2</v>
      </c>
      <c r="BH13" s="118">
        <f t="shared" si="12"/>
        <v>58.848082044642688</v>
      </c>
      <c r="BI13" s="118"/>
      <c r="BJ13" s="417">
        <f>Table1[[#This Row],[Net Sales Units]]/Table1[[#This Row],[Shoe Budget Units]]</f>
        <v>0.36777121503246113</v>
      </c>
      <c r="BK13" s="256">
        <f>Table1[[#This Row],[Net Sales (Units0]]/Table1[[#This Row],[Apparel Budget Units]]</f>
        <v>1.0384389950550226</v>
      </c>
      <c r="BL13" s="284">
        <f>Table1[[#This Row],[Net Sales Units total]]/Table1[[#This Row],[Units]]</f>
        <v>0.42287763713080168</v>
      </c>
      <c r="BM13" s="493">
        <f>ROUND(Table1[[#This Row],[Net Sales Units]]/'Hypotesis Panel'!$G$8,0)</f>
        <v>2857</v>
      </c>
      <c r="BN13" s="426">
        <f>ROUND('Hypotesis Panel'!$G$8/Table1[[#This Row],[ST% Shoes]],0)</f>
        <v>38</v>
      </c>
      <c r="BO13" s="482">
        <f>Table1[[#This Row],[Net Sales (Units0]]/'Hypotesis Panel'!$G$8</f>
        <v>722.21428571428567</v>
      </c>
      <c r="BP13" s="426">
        <f>IFERROR(ROUND('Hypotesis Panel'!$G$8/Table1[[#This Row],[ST% Apparel]],0),"NoStock")</f>
        <v>13</v>
      </c>
      <c r="BQ13" s="515">
        <f>IFERROR(ROUND('Hypotesis Panel'!$G$8/Table1[[#This Row],[ST% ToTal]],0),"")</f>
        <v>33</v>
      </c>
      <c r="BR13" s="433">
        <f>Table1[[#This Row],[Expected WoOS Shoes]]-'Hypotesis Panel'!$G$8</f>
        <v>24</v>
      </c>
      <c r="BS13" s="420">
        <f>IFERROR(Table1[[#This Row],[Expected WoOS Apparel]]-'Hypotesis Panel'!$G$8,"")</f>
        <v>-1</v>
      </c>
      <c r="BT13" s="435">
        <f>Table1[[#This Row],[Expected WoOS Total]]-'Hypotesis Panel'!$G$8</f>
        <v>19</v>
      </c>
      <c r="BU13" s="478">
        <f>Table1[[#This Row],[WOCoverage Shoes]]+'Hypotesis Panel'!$G$8-'Hypotesis Panel'!$F$3</f>
        <v>12</v>
      </c>
      <c r="BV13" s="497" t="str">
        <f>_xlfn.XLOOKUP(Table1[[#This Row],[WOS at WK26 Shoes]],Table2[Lower Bound],Table2[Action],,-1)</f>
        <v>Overstock</v>
      </c>
      <c r="BW13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13" s="71">
        <f>Table1[[#This Row],[WOC Apparel]]+'Hypotesis Panel'!$G$8-'Hypotesis Panel'!$F$3</f>
        <v>-13</v>
      </c>
      <c r="BY13" s="479" t="str">
        <f>_xlfn.XLOOKUP(Table1[[#This Row],[WOS at WK26 Apparel]],Table2[Lower Bound],Table2[Action],,-1)</f>
        <v>Stock Out Risk</v>
      </c>
      <c r="CA13" s="285">
        <f>ROUND(Table1[[#This Row],[% Budget share]]*'Available Stock'!$H$6,0)</f>
        <v>47239</v>
      </c>
      <c r="CB13" s="475">
        <f>ROUND(Table1[[#This Row],[% Budget share]]*'Available Stock'!$I$6,0)</f>
        <v>28343</v>
      </c>
      <c r="CC13" s="482">
        <f>Table1[[#This Row],[Net Sales (Units0]]/'Hypotesis Panel'!$G$8</f>
        <v>722.21428571428567</v>
      </c>
      <c r="CD13" s="285">
        <f>ROUND(Table1[[#This Row],[% Budget share]]*'Available Stock'!$H$7,0)</f>
        <v>7063</v>
      </c>
      <c r="CE13" s="475">
        <f>ROUND(Table1[[#This Row],[% Budget share]]*'Available Stock'!$I$7,0)</f>
        <v>1978</v>
      </c>
      <c r="CF13" s="482" t="e">
        <f>Table1[[#This Row],[Shoes Available Q2 Stock Current Season ]]/#REF!</f>
        <v>#REF!</v>
      </c>
      <c r="CG13" s="285" t="e">
        <f>Table1[[#This Row],[Shoes Available Q2 Stock Old Season]]/#REF!</f>
        <v>#REF!</v>
      </c>
      <c r="CH13" s="285" t="e">
        <f>SUM(Table1[[#This Row],[Q2 Shoes New Stock WOC based on Q1 Sales Velocity]:[Q2 Shoes Old Stock WOC based on Q1 Sales Velocity]])</f>
        <v>#REF!</v>
      </c>
      <c r="CI13" s="285">
        <f>IFERROR(Table1[[#This Row],[Apparel Q2 Available Stock Current Season 2]]/Table1[[#This Row],[Avg Apparel Q1 Weekly Sales2]],"")</f>
        <v>9.7796459301750573</v>
      </c>
      <c r="CJ13" s="285">
        <f>IFERROR(Table1[[#This Row],[Apparel Q2Available Stock Old Season3]]/Table1[[#This Row],[Avg Apparel Q1 Weekly Sales2]],"")</f>
        <v>2.738799327465137</v>
      </c>
      <c r="CK13" s="475">
        <f>SUM(Table1[[#This Row],[Q2 Apparel New Stock WOC based on Q1 Sales Velocity]:[Q2 Apparel Old Stock WOC based on Q1 Sales Velocity]])</f>
        <v>12.518445257640195</v>
      </c>
    </row>
    <row r="14" spans="1:89">
      <c r="A14" s="130" t="s">
        <v>29</v>
      </c>
      <c r="B14" s="122" t="s">
        <v>32</v>
      </c>
      <c r="C14" s="565" t="s">
        <v>31</v>
      </c>
      <c r="D14" s="565" t="str">
        <f>_xlfn.CONCAT(Table1[[#This Row],[Sub Region]:[Account]])</f>
        <v>CentralSwitzerlandField Accounts</v>
      </c>
      <c r="E14" s="565" t="str">
        <f>_xlfn.IFNA(VLOOKUP(Table1[[#This Row],[Account]],'Account Information'!$A$4:$B$18,2,FALSE),"")</f>
        <v>Field Accounts</v>
      </c>
      <c r="F14" s="566">
        <v>4711869.5999999996</v>
      </c>
      <c r="G14" s="123">
        <v>63600</v>
      </c>
      <c r="H14" s="374">
        <f>Table1[[#This Row],[Units]]/$G$2</f>
        <v>2.6045292600024569E-2</v>
      </c>
      <c r="I14" s="142">
        <f t="shared" si="1"/>
        <v>74.085999999999999</v>
      </c>
      <c r="J14" s="406">
        <f>Table1[[#This Row],[Units]]*(1-'Hypotesis Panel'!$F$46)</f>
        <v>58374.21079429736</v>
      </c>
      <c r="K14" s="406">
        <f>Table1[[#This Row],[Units]]-Table1[[#This Row],[Shoe Budget Units]]</f>
        <v>5225.7892057026402</v>
      </c>
      <c r="L14" s="146">
        <v>3328955.9999999995</v>
      </c>
      <c r="M14" s="123">
        <v>42400</v>
      </c>
      <c r="N14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39200</v>
      </c>
      <c r="O14" s="397">
        <f>Table1[[#This Row],[Net Sales (€)]]/Table1[[#This Row],[Net Sales Units]]</f>
        <v>84.922346938775505</v>
      </c>
      <c r="P14" s="125">
        <v>1900</v>
      </c>
      <c r="Q14" s="365">
        <f>Table1[[#This Row],[Cancellations (units)]]/Table1[[#This Row],[Pre-Orders Invoiced (units)]]</f>
        <v>4.4811320754716978E-2</v>
      </c>
      <c r="R14" s="123">
        <v>4600</v>
      </c>
      <c r="S14" s="370">
        <f>Table1[[#This Row],[Re-Orders Invoiced (units)]]/Table1[[#This Row],[Pre-Orders Invoiced (units)]]</f>
        <v>0.10849056603773585</v>
      </c>
      <c r="T14" s="123">
        <v>0</v>
      </c>
      <c r="U14" s="370">
        <f>Table1[[#This Row],[Stock Clearance Invoiced (units)]]/Table1[[#This Row],[Pre-Orders Invoiced (units)]]</f>
        <v>0</v>
      </c>
      <c r="V14" s="123">
        <v>-5900</v>
      </c>
      <c r="W14" s="385">
        <f>Table1[[#This Row],[Returns Processed (units)]]/Table1[[#This Row],[Pre-Orders Invoiced (units)]]</f>
        <v>-0.13915094339622641</v>
      </c>
      <c r="X14" s="356">
        <v>338168.45199999993</v>
      </c>
      <c r="Y14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6277</v>
      </c>
      <c r="Z14" s="143">
        <f>Table1[[#This Row],[Net Sales (€)2]]/Table1[[#This Row],[Net Sales (Units0]]</f>
        <v>53.874215708140824</v>
      </c>
      <c r="AA14" s="123">
        <v>8480</v>
      </c>
      <c r="AB14" s="125">
        <v>432</v>
      </c>
      <c r="AC14" s="365">
        <f>IFERROR(Table1[[#This Row],[Cancellations (units)4]]/Table1[[#This Row],[Pre-Orders Invoiced (units)3]],0)</f>
        <v>5.0943396226415097E-2</v>
      </c>
      <c r="AD14" s="123">
        <v>234</v>
      </c>
      <c r="AE14" s="368">
        <f>IFERROR(Table1[[#This Row],[Re-Orders Invoiced (units)5]]/Table1[[#This Row],[Pre-Orders Invoiced (units)3]],0)</f>
        <v>2.759433962264151E-2</v>
      </c>
      <c r="AF14" s="123">
        <v>0</v>
      </c>
      <c r="AG14" s="368">
        <f>IFERROR(Table1[[#This Row],[Stock Clearance Invoiced (units)6]]/Table1[[#This Row],[Pre-Orders Invoiced (units)3]],0)</f>
        <v>0</v>
      </c>
      <c r="AH14" s="123">
        <v>-2005</v>
      </c>
      <c r="AI14" s="391">
        <f>IFERROR(Table1[[#This Row],[Returns Processed (units)7]]/Table1[[#This Row],[Pre-Orders Invoiced (units)3]],0)</f>
        <v>-0.23643867924528303</v>
      </c>
      <c r="AJ14" s="393">
        <f>Table1[[#This Row],[Net Sales (€)2]]/Table1[[#This Row],[Net Sales (€)]]</f>
        <v>0.10158393562426177</v>
      </c>
      <c r="AK14" s="412">
        <f>Table1[[#This Row],[Net Sales (Units0]]+Table1[[#This Row],[Net Sales Units]]</f>
        <v>45477</v>
      </c>
      <c r="AL14" s="504">
        <f>Table1[[#This Row],[Net Sales (€)2]]+Table1[[#This Row],[Net Sales (€)]]</f>
        <v>3667124.4519999996</v>
      </c>
      <c r="AM14" s="356">
        <v>8700</v>
      </c>
      <c r="AN14" s="147">
        <v>30324</v>
      </c>
      <c r="AO14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39200</v>
      </c>
      <c r="AP14" s="245">
        <f>Table1[[#This Row],[Net Sales (€)]]/AO14</f>
        <v>84.922346938775505</v>
      </c>
      <c r="AQ14" s="123">
        <f>AA14-+AB14+Table1[[#This Row],[Re-Orders Invoiced (units)5]]+AF14+AH14</f>
        <v>6277</v>
      </c>
      <c r="AR14" s="123">
        <f>IFERROR(Table1[[#This Row],[Net Sales (€)2]]/AQ14,"")</f>
        <v>53.874215708140824</v>
      </c>
      <c r="AS14" s="62"/>
      <c r="AT14" s="91">
        <f t="shared" si="2"/>
        <v>3667124.4519999996</v>
      </c>
      <c r="AU14" s="91">
        <f t="shared" si="3"/>
        <v>3062715.2399999998</v>
      </c>
      <c r="AV14" s="92">
        <f t="shared" si="4"/>
        <v>0.19734424020432262</v>
      </c>
      <c r="AW14" s="106">
        <f t="shared" si="5"/>
        <v>3.196199503739567E-2</v>
      </c>
      <c r="AX14" s="155">
        <f t="shared" si="6"/>
        <v>63</v>
      </c>
      <c r="AY14" s="118"/>
      <c r="AZ14" s="107">
        <f>AU14*(1-'SS24 Q2 Data'!$AB$5)</f>
        <v>2811062.657589104</v>
      </c>
      <c r="BA14" s="92">
        <f t="shared" si="7"/>
        <v>0.18423400880543328</v>
      </c>
      <c r="BB14" s="106">
        <f t="shared" si="8"/>
        <v>3.1961995037395663E-2</v>
      </c>
      <c r="BC14" s="115">
        <f t="shared" si="9"/>
        <v>58.884864751587678</v>
      </c>
      <c r="BD14" s="118"/>
      <c r="BE14" s="107">
        <f>AU14*'SS24 Q2 Data'!$AB$5</f>
        <v>251652.58241089579</v>
      </c>
      <c r="BF14" s="92">
        <f t="shared" si="10"/>
        <v>0.34379090713180882</v>
      </c>
      <c r="BG14" s="106">
        <f t="shared" si="11"/>
        <v>3.1961995037395663E-2</v>
      </c>
      <c r="BH14" s="118">
        <f t="shared" si="12"/>
        <v>109.88243267648627</v>
      </c>
      <c r="BI14" s="118"/>
      <c r="BJ14" s="417">
        <f>Table1[[#This Row],[Net Sales Units]]/Table1[[#This Row],[Shoe Budget Units]]</f>
        <v>0.67152942141068728</v>
      </c>
      <c r="BK14" s="256">
        <f>Table1[[#This Row],[Net Sales (Units0]]/Table1[[#This Row],[Apparel Budget Units]]</f>
        <v>1.2011582849821472</v>
      </c>
      <c r="BL14" s="284">
        <f>Table1[[#This Row],[Net Sales Units total]]/Table1[[#This Row],[Units]]</f>
        <v>0.71504716981132077</v>
      </c>
      <c r="BM14" s="493">
        <f>ROUND(Table1[[#This Row],[Net Sales Units]]/'Hypotesis Panel'!$G$8,0)</f>
        <v>2800</v>
      </c>
      <c r="BN14" s="426">
        <f>ROUND('Hypotesis Panel'!$G$8/Table1[[#This Row],[ST% Shoes]],0)</f>
        <v>21</v>
      </c>
      <c r="BO14" s="482">
        <f>Table1[[#This Row],[Net Sales (Units0]]/'Hypotesis Panel'!$G$8</f>
        <v>448.35714285714283</v>
      </c>
      <c r="BP14" s="426">
        <f>IFERROR(ROUND('Hypotesis Panel'!$G$8/Table1[[#This Row],[ST% Apparel]],0),"NoStock")</f>
        <v>12</v>
      </c>
      <c r="BQ14" s="515">
        <f>IFERROR(ROUND('Hypotesis Panel'!$G$8/Table1[[#This Row],[ST% ToTal]],0),"")</f>
        <v>20</v>
      </c>
      <c r="BR14" s="433">
        <f>Table1[[#This Row],[Expected WoOS Shoes]]-'Hypotesis Panel'!$G$8</f>
        <v>7</v>
      </c>
      <c r="BS14" s="420">
        <f>IFERROR(Table1[[#This Row],[Expected WoOS Apparel]]-'Hypotesis Panel'!$G$8,"")</f>
        <v>-2</v>
      </c>
      <c r="BT14" s="435">
        <f>Table1[[#This Row],[Expected WoOS Total]]-'Hypotesis Panel'!$G$8</f>
        <v>6</v>
      </c>
      <c r="BU14" s="478">
        <f>Table1[[#This Row],[WOCoverage Shoes]]+'Hypotesis Panel'!$G$8-'Hypotesis Panel'!$F$3</f>
        <v>-5</v>
      </c>
      <c r="BV14" s="497" t="str">
        <f>_xlfn.XLOOKUP(Table1[[#This Row],[WOS at WK26 Shoes]],Table2[Lower Bound],Table2[Action],,-1)</f>
        <v>Stock Out Risk</v>
      </c>
      <c r="BW14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-1188912.857142857</v>
      </c>
      <c r="BX14" s="71">
        <f>Table1[[#This Row],[WOC Apparel]]+'Hypotesis Panel'!$G$8-'Hypotesis Panel'!$F$3</f>
        <v>-14</v>
      </c>
      <c r="BY14" s="479" t="str">
        <f>_xlfn.XLOOKUP(Table1[[#This Row],[WOS at WK26 Apparel]],Table2[Lower Bound],Table2[Action],,-1)</f>
        <v>Stock Out Risk</v>
      </c>
      <c r="CA14" s="285">
        <f>ROUND(Table1[[#This Row],[% Budget share]]*'Available Stock'!$H$6,0)</f>
        <v>25354</v>
      </c>
      <c r="CB14" s="475">
        <f>ROUND(Table1[[#This Row],[% Budget share]]*'Available Stock'!$I$6,0)</f>
        <v>15212</v>
      </c>
      <c r="CC14" s="482">
        <f>Table1[[#This Row],[Net Sales (Units0]]/'Hypotesis Panel'!$G$8</f>
        <v>448.35714285714283</v>
      </c>
      <c r="CD14" s="285">
        <f>ROUND(Table1[[#This Row],[% Budget share]]*'Available Stock'!$H$7,0)</f>
        <v>3791</v>
      </c>
      <c r="CE14" s="475">
        <f>ROUND(Table1[[#This Row],[% Budget share]]*'Available Stock'!$I$7,0)</f>
        <v>1061</v>
      </c>
      <c r="CF14" s="482" t="e">
        <f>Table1[[#This Row],[Shoes Available Q2 Stock Current Season ]]/#REF!</f>
        <v>#REF!</v>
      </c>
      <c r="CG14" s="285" t="e">
        <f>Table1[[#This Row],[Shoes Available Q2 Stock Old Season]]/#REF!</f>
        <v>#REF!</v>
      </c>
      <c r="CH14" s="285" t="e">
        <f>SUM(Table1[[#This Row],[Q2 Shoes New Stock WOC based on Q1 Sales Velocity]:[Q2 Shoes Old Stock WOC based on Q1 Sales Velocity]])</f>
        <v>#REF!</v>
      </c>
      <c r="CI14" s="285">
        <f>IFERROR(Table1[[#This Row],[Apparel Q2 Available Stock Current Season 2]]/Table1[[#This Row],[Avg Apparel Q1 Weekly Sales2]],"")</f>
        <v>8.4553130476342204</v>
      </c>
      <c r="CJ14" s="285">
        <f>IFERROR(Table1[[#This Row],[Apparel Q2Available Stock Old Season3]]/Table1[[#This Row],[Avg Apparel Q1 Weekly Sales2]],"")</f>
        <v>2.3664170782220806</v>
      </c>
      <c r="CK14" s="475">
        <f>SUM(Table1[[#This Row],[Q2 Apparel New Stock WOC based on Q1 Sales Velocity]:[Q2 Apparel Old Stock WOC based on Q1 Sales Velocity]])</f>
        <v>10.821730125856302</v>
      </c>
    </row>
    <row r="15" spans="1:89">
      <c r="A15" s="131" t="s">
        <v>46</v>
      </c>
      <c r="B15" s="126" t="s">
        <v>47</v>
      </c>
      <c r="C15" s="141" t="s">
        <v>86</v>
      </c>
      <c r="D15" s="283" t="str">
        <f>_xlfn.CONCAT(Table1[[#This Row],[Sub Region]:[Account]])</f>
        <v>SouthSpainAurelian &amp; Co.</v>
      </c>
      <c r="E15" s="127" t="str">
        <f>_xlfn.IFNA(VLOOKUP(Table1[[#This Row],[Account]],'Account Information'!$A$4:$B$18,2,FALSE),"")</f>
        <v>Lifestyle / Sport</v>
      </c>
      <c r="F15" s="124">
        <v>4762982.7360000089</v>
      </c>
      <c r="G15" s="123">
        <v>78300</v>
      </c>
      <c r="H15" s="374">
        <f>Table1[[#This Row],[Units]]/$G$2</f>
        <v>3.2065195134935907E-2</v>
      </c>
      <c r="I15" s="142">
        <f t="shared" si="1"/>
        <v>60.829920000000115</v>
      </c>
      <c r="J15" s="406">
        <f>Table1[[#This Row],[Units]]*(1-'Hypotesis Panel'!$F$46)</f>
        <v>71866.363289205707</v>
      </c>
      <c r="K15" s="406">
        <f>Table1[[#This Row],[Units]]-Table1[[#This Row],[Shoe Budget Units]]</f>
        <v>6433.6367107942933</v>
      </c>
      <c r="L15" s="146">
        <v>2102250.3000000035</v>
      </c>
      <c r="M15" s="123">
        <v>28400</v>
      </c>
      <c r="N15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31900</v>
      </c>
      <c r="O15" s="397">
        <f>Table1[[#This Row],[Net Sales (€)]]/Table1[[#This Row],[Net Sales Units]]</f>
        <v>65.90126332288412</v>
      </c>
      <c r="P15" s="125">
        <v>400</v>
      </c>
      <c r="Q15" s="365">
        <f>Table1[[#This Row],[Cancellations (units)]]/Table1[[#This Row],[Pre-Orders Invoiced (units)]]</f>
        <v>1.4084507042253521E-2</v>
      </c>
      <c r="R15" s="123">
        <v>4000</v>
      </c>
      <c r="S15" s="370">
        <f>Table1[[#This Row],[Re-Orders Invoiced (units)]]/Table1[[#This Row],[Pre-Orders Invoiced (units)]]</f>
        <v>0.14084507042253522</v>
      </c>
      <c r="T15" s="123">
        <v>0</v>
      </c>
      <c r="U15" s="370">
        <f>Table1[[#This Row],[Stock Clearance Invoiced (units)]]/Table1[[#This Row],[Pre-Orders Invoiced (units)]]</f>
        <v>0</v>
      </c>
      <c r="V15" s="123">
        <v>-100</v>
      </c>
      <c r="W15" s="374">
        <f>Table1[[#This Row],[Returns Processed (units)]]/Table1[[#This Row],[Pre-Orders Invoiced (units)]]</f>
        <v>-3.5211267605633804E-3</v>
      </c>
      <c r="X15" s="356">
        <v>323066.32200000063</v>
      </c>
      <c r="Y15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6498</v>
      </c>
      <c r="Z15" s="143">
        <f>Table1[[#This Row],[Net Sales (€)2]]/Table1[[#This Row],[Net Sales (Units0]]</f>
        <v>49.717808864266026</v>
      </c>
      <c r="AA15" s="123">
        <v>6532</v>
      </c>
      <c r="AB15" s="125">
        <v>54</v>
      </c>
      <c r="AC15" s="365">
        <f>IFERROR(Table1[[#This Row],[Cancellations (units)4]]/Table1[[#This Row],[Pre-Orders Invoiced (units)3]],0)</f>
        <v>8.2669932639314152E-3</v>
      </c>
      <c r="AD15" s="123">
        <v>20</v>
      </c>
      <c r="AE15" s="368">
        <f>IFERROR(Table1[[#This Row],[Re-Orders Invoiced (units)5]]/Table1[[#This Row],[Pre-Orders Invoiced (units)3]],0)</f>
        <v>3.0618493570116348E-3</v>
      </c>
      <c r="AF15" s="123">
        <v>0</v>
      </c>
      <c r="AG15" s="368">
        <f>IFERROR(Table1[[#This Row],[Stock Clearance Invoiced (units)6]]/Table1[[#This Row],[Pre-Orders Invoiced (units)3]],0)</f>
        <v>0</v>
      </c>
      <c r="AH15" s="123">
        <v>0</v>
      </c>
      <c r="AI15" s="381">
        <f>IFERROR(Table1[[#This Row],[Returns Processed (units)7]]/Table1[[#This Row],[Pre-Orders Invoiced (units)3]],0)</f>
        <v>0</v>
      </c>
      <c r="AJ15" s="392">
        <f>Table1[[#This Row],[Net Sales (€)2]]/Table1[[#This Row],[Net Sales (€)]]</f>
        <v>0.15367643044217907</v>
      </c>
      <c r="AK15" s="412">
        <f>Table1[[#This Row],[Net Sales (Units0]]+Table1[[#This Row],[Net Sales Units]]</f>
        <v>38398</v>
      </c>
      <c r="AL15" s="504">
        <f>Table1[[#This Row],[Net Sales (€)2]]+Table1[[#This Row],[Net Sales (€)]]</f>
        <v>2425316.6220000042</v>
      </c>
      <c r="AM15" s="356">
        <v>10700</v>
      </c>
      <c r="AN15" s="147">
        <v>1532</v>
      </c>
      <c r="AO15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31900</v>
      </c>
      <c r="AP15" s="245">
        <f>Table1[[#This Row],[Net Sales (€)]]/AO15</f>
        <v>65.90126332288412</v>
      </c>
      <c r="AQ15" s="123">
        <f>AA15-+AB15+Table1[[#This Row],[Re-Orders Invoiced (units)5]]+AF15+AH15</f>
        <v>6498</v>
      </c>
      <c r="AR15" s="123">
        <f>IFERROR(Table1[[#This Row],[Net Sales (€)2]]/AQ15,"")</f>
        <v>49.717808864266026</v>
      </c>
      <c r="AS15" s="62"/>
      <c r="AT15" s="91">
        <f t="shared" si="2"/>
        <v>2425316.6220000042</v>
      </c>
      <c r="AU15" s="91">
        <f t="shared" si="3"/>
        <v>3095938.7784000058</v>
      </c>
      <c r="AV15" s="92">
        <f t="shared" si="4"/>
        <v>-0.21661350704957483</v>
      </c>
      <c r="AW15" s="106">
        <f t="shared" si="5"/>
        <v>3.2308710447172297E-2</v>
      </c>
      <c r="AX15" s="155">
        <f t="shared" si="6"/>
        <v>-70</v>
      </c>
      <c r="AY15" s="118"/>
      <c r="AZ15" s="107">
        <f>AU15*(1-'SS24 Q2 Data'!$AB$5)</f>
        <v>2841556.3342226632</v>
      </c>
      <c r="BA15" s="92">
        <f t="shared" si="7"/>
        <v>-0.26017644813820118</v>
      </c>
      <c r="BB15" s="106">
        <f t="shared" si="8"/>
        <v>3.2308710447172283E-2</v>
      </c>
      <c r="BC15" s="115">
        <f t="shared" si="9"/>
        <v>-84.059655280708782</v>
      </c>
      <c r="BD15" s="118"/>
      <c r="BE15" s="107">
        <f>AU15*'SS24 Q2 Data'!$AB$5</f>
        <v>254382.44417734229</v>
      </c>
      <c r="BF15" s="92">
        <f t="shared" si="10"/>
        <v>0.27000242899928861</v>
      </c>
      <c r="BG15" s="106">
        <f t="shared" si="11"/>
        <v>3.230871044717229E-2</v>
      </c>
      <c r="BH15" s="118">
        <f t="shared" si="12"/>
        <v>87.234302985712105</v>
      </c>
      <c r="BI15" s="118"/>
      <c r="BJ15" s="417">
        <f>Table1[[#This Row],[Net Sales Units]]/Table1[[#This Row],[Shoe Budget Units]]</f>
        <v>0.44387942481001214</v>
      </c>
      <c r="BK15" s="256">
        <f>Table1[[#This Row],[Net Sales (Units0]]/Table1[[#This Row],[Apparel Budget Units]]</f>
        <v>1.0100041845847028</v>
      </c>
      <c r="BL15" s="284">
        <f>Table1[[#This Row],[Net Sales Units total]]/Table1[[#This Row],[Units]]</f>
        <v>0.49039591315453385</v>
      </c>
      <c r="BM15" s="493">
        <f>ROUND(Table1[[#This Row],[Net Sales Units]]/'Hypotesis Panel'!$G$8,0)</f>
        <v>2279</v>
      </c>
      <c r="BN15" s="426">
        <f>ROUND('Hypotesis Panel'!$G$8/Table1[[#This Row],[ST% Shoes]],0)</f>
        <v>32</v>
      </c>
      <c r="BO15" s="482">
        <f>Table1[[#This Row],[Net Sales (Units0]]/'Hypotesis Panel'!$G$8</f>
        <v>464.14285714285717</v>
      </c>
      <c r="BP15" s="426">
        <f>IFERROR(ROUND('Hypotesis Panel'!$G$8/Table1[[#This Row],[ST% Apparel]],0),"NoStock")</f>
        <v>14</v>
      </c>
      <c r="BQ15" s="515">
        <f>IFERROR(ROUND('Hypotesis Panel'!$G$8/Table1[[#This Row],[ST% ToTal]],0),"")</f>
        <v>29</v>
      </c>
      <c r="BR15" s="433">
        <f>Table1[[#This Row],[Expected WoOS Shoes]]-'Hypotesis Panel'!$G$8</f>
        <v>18</v>
      </c>
      <c r="BS15" s="420">
        <f>IFERROR(Table1[[#This Row],[Expected WoOS Apparel]]-'Hypotesis Panel'!$G$8,"")</f>
        <v>0</v>
      </c>
      <c r="BT15" s="435">
        <f>Table1[[#This Row],[Expected WoOS Total]]-'Hypotesis Panel'!$G$8</f>
        <v>15</v>
      </c>
      <c r="BU15" s="478">
        <f>Table1[[#This Row],[WOCoverage Shoes]]+'Hypotesis Panel'!$G$8-'Hypotesis Panel'!$F$3</f>
        <v>6</v>
      </c>
      <c r="BV15" s="497" t="str">
        <f>_xlfn.XLOOKUP(Table1[[#This Row],[WOS at WK26 Shoes]],Table2[Lower Bound],Table2[Action],,-1)</f>
        <v>Overstock</v>
      </c>
      <c r="BW15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15" s="71">
        <f>Table1[[#This Row],[WOC Apparel]]+'Hypotesis Panel'!$G$8-'Hypotesis Panel'!$F$3</f>
        <v>-12</v>
      </c>
      <c r="BY15" s="479" t="str">
        <f>_xlfn.XLOOKUP(Table1[[#This Row],[WOS at WK26 Apparel]],Table2[Lower Bound],Table2[Action],,-1)</f>
        <v>Stock Out Risk</v>
      </c>
      <c r="CA15" s="285">
        <f>ROUND(Table1[[#This Row],[% Budget share]]*'Available Stock'!$H$6,0)</f>
        <v>31214</v>
      </c>
      <c r="CB15" s="475">
        <f>ROUND(Table1[[#This Row],[% Budget share]]*'Available Stock'!$I$6,0)</f>
        <v>18728</v>
      </c>
      <c r="CC15" s="482">
        <f>Table1[[#This Row],[Net Sales (Units0]]/'Hypotesis Panel'!$G$8</f>
        <v>464.14285714285717</v>
      </c>
      <c r="CD15" s="285">
        <f>ROUND(Table1[[#This Row],[% Budget share]]*'Available Stock'!$H$7,0)</f>
        <v>4667</v>
      </c>
      <c r="CE15" s="475">
        <f>ROUND(Table1[[#This Row],[% Budget share]]*'Available Stock'!$I$7,0)</f>
        <v>1307</v>
      </c>
      <c r="CF15" s="482" t="e">
        <f>Table1[[#This Row],[Shoes Available Q2 Stock Current Season ]]/#REF!</f>
        <v>#REF!</v>
      </c>
      <c r="CG15" s="285" t="e">
        <f>Table1[[#This Row],[Shoes Available Q2 Stock Old Season]]/#REF!</f>
        <v>#REF!</v>
      </c>
      <c r="CH15" s="285" t="e">
        <f>SUM(Table1[[#This Row],[Q2 Shoes New Stock WOC based on Q1 Sales Velocity]:[Q2 Shoes Old Stock WOC based on Q1 Sales Velocity]])</f>
        <v>#REF!</v>
      </c>
      <c r="CI15" s="285">
        <f>IFERROR(Table1[[#This Row],[Apparel Q2 Available Stock Current Season 2]]/Table1[[#This Row],[Avg Apparel Q1 Weekly Sales2]],"")</f>
        <v>10.055093875038473</v>
      </c>
      <c r="CJ15" s="285">
        <f>IFERROR(Table1[[#This Row],[Apparel Q2Available Stock Old Season3]]/Table1[[#This Row],[Avg Apparel Q1 Weekly Sales2]],"")</f>
        <v>2.8159433671899046</v>
      </c>
      <c r="CK15" s="475">
        <f>SUM(Table1[[#This Row],[Q2 Apparel New Stock WOC based on Q1 Sales Velocity]:[Q2 Apparel Old Stock WOC based on Q1 Sales Velocity]])</f>
        <v>12.871037242228377</v>
      </c>
    </row>
    <row r="16" spans="1:89">
      <c r="A16" s="130" t="s">
        <v>50</v>
      </c>
      <c r="B16" s="122" t="s">
        <v>50</v>
      </c>
      <c r="C16" s="127" t="s">
        <v>51</v>
      </c>
      <c r="D16" s="127" t="str">
        <f>_xlfn.CONCAT(Table1[[#This Row],[Sub Region]:[Account]])</f>
        <v>EuropeEuropeAxiom Street</v>
      </c>
      <c r="E16" s="127" t="str">
        <f>_xlfn.IFNA(VLOOKUP(Table1[[#This Row],[Account]],'Account Information'!$A$4:$B$18,2,FALSE),"")</f>
        <v>Lifestyle / Sport</v>
      </c>
      <c r="F16" s="124">
        <v>2424493.25</v>
      </c>
      <c r="G16" s="123">
        <v>42500</v>
      </c>
      <c r="H16" s="374">
        <f>Table1[[#This Row],[Units]]/$G$2</f>
        <v>1.7404480117940949E-2</v>
      </c>
      <c r="I16" s="142">
        <f t="shared" si="1"/>
        <v>57.046900000000001</v>
      </c>
      <c r="J16" s="406">
        <f>Table1[[#This Row],[Units]]*(1-'Hypotesis Panel'!$F$46)</f>
        <v>39007.923879837072</v>
      </c>
      <c r="K16" s="406">
        <f>Table1[[#This Row],[Units]]-Table1[[#This Row],[Shoe Budget Units]]</f>
        <v>3492.0761201629284</v>
      </c>
      <c r="L16" s="146">
        <v>1805037</v>
      </c>
      <c r="M16" s="123">
        <v>29200</v>
      </c>
      <c r="N16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26900</v>
      </c>
      <c r="O16" s="397">
        <f>Table1[[#This Row],[Net Sales (€)]]/Table1[[#This Row],[Net Sales Units]]</f>
        <v>67.101747211895912</v>
      </c>
      <c r="P16" s="125">
        <v>2900</v>
      </c>
      <c r="Q16" s="365">
        <f>Table1[[#This Row],[Cancellations (units)]]/Table1[[#This Row],[Pre-Orders Invoiced (units)]]</f>
        <v>9.9315068493150679E-2</v>
      </c>
      <c r="R16" s="123">
        <v>600</v>
      </c>
      <c r="S16" s="370">
        <f>Table1[[#This Row],[Re-Orders Invoiced (units)]]/Table1[[#This Row],[Pre-Orders Invoiced (units)]]</f>
        <v>2.0547945205479451E-2</v>
      </c>
      <c r="T16" s="123">
        <v>0</v>
      </c>
      <c r="U16" s="370">
        <f>Table1[[#This Row],[Stock Clearance Invoiced (units)]]/Table1[[#This Row],[Pre-Orders Invoiced (units)]]</f>
        <v>0</v>
      </c>
      <c r="V16" s="123">
        <v>0</v>
      </c>
      <c r="W16" s="374">
        <f>Table1[[#This Row],[Returns Processed (units)]]/Table1[[#This Row],[Pre-Orders Invoiced (units)]]</f>
        <v>0</v>
      </c>
      <c r="X16" s="356">
        <v>286846.98840000003</v>
      </c>
      <c r="Y16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5815.6</v>
      </c>
      <c r="Z16" s="143">
        <f>Table1[[#This Row],[Net Sales (€)2]]/Table1[[#This Row],[Net Sales (Units0]]</f>
        <v>49.323713529128554</v>
      </c>
      <c r="AA16" s="123">
        <v>6132</v>
      </c>
      <c r="AB16" s="125">
        <v>623</v>
      </c>
      <c r="AC16" s="365">
        <f>IFERROR(Table1[[#This Row],[Cancellations (units)4]]/Table1[[#This Row],[Pre-Orders Invoiced (units)3]],0)</f>
        <v>0.10159817351598173</v>
      </c>
      <c r="AD16" s="123">
        <v>306.60000000000002</v>
      </c>
      <c r="AE16" s="368">
        <f>IFERROR(Table1[[#This Row],[Re-Orders Invoiced (units)5]]/Table1[[#This Row],[Pre-Orders Invoiced (units)3]],0)</f>
        <v>0.05</v>
      </c>
      <c r="AF16" s="123">
        <v>0</v>
      </c>
      <c r="AG16" s="368">
        <f>IFERROR(Table1[[#This Row],[Stock Clearance Invoiced (units)6]]/Table1[[#This Row],[Pre-Orders Invoiced (units)3]],0)</f>
        <v>0</v>
      </c>
      <c r="AH16" s="123">
        <v>0</v>
      </c>
      <c r="AI16" s="381">
        <f>IFERROR(Table1[[#This Row],[Returns Processed (units)7]]/Table1[[#This Row],[Pre-Orders Invoiced (units)3]],0)</f>
        <v>0</v>
      </c>
      <c r="AJ16" s="392">
        <f>Table1[[#This Row],[Net Sales (€)2]]/Table1[[#This Row],[Net Sales (€)]]</f>
        <v>0.15891474158147453</v>
      </c>
      <c r="AK16" s="412">
        <f>Table1[[#This Row],[Net Sales (Units0]]+Table1[[#This Row],[Net Sales Units]]</f>
        <v>32715.599999999999</v>
      </c>
      <c r="AL16" s="504">
        <f>Table1[[#This Row],[Net Sales (€)2]]+Table1[[#This Row],[Net Sales (€)]]</f>
        <v>2091883.9884000001</v>
      </c>
      <c r="AM16" s="356">
        <v>21900</v>
      </c>
      <c r="AN16" s="147">
        <v>2345</v>
      </c>
      <c r="AO16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26900</v>
      </c>
      <c r="AP16" s="245">
        <f>Table1[[#This Row],[Net Sales (€)]]/AO16</f>
        <v>67.101747211895912</v>
      </c>
      <c r="AQ16" s="123">
        <f>AA16-+AB16+Table1[[#This Row],[Re-Orders Invoiced (units)5]]+AF16+AH16</f>
        <v>5815.6</v>
      </c>
      <c r="AR16" s="123">
        <f>IFERROR(Table1[[#This Row],[Net Sales (€)2]]/AQ16,"")</f>
        <v>49.323713529128554</v>
      </c>
      <c r="AS16" s="62"/>
      <c r="AT16" s="91">
        <f t="shared" si="2"/>
        <v>2091883.9884000001</v>
      </c>
      <c r="AU16" s="91">
        <f t="shared" si="3"/>
        <v>1575920.6125</v>
      </c>
      <c r="AV16" s="92">
        <f t="shared" si="4"/>
        <v>0.32740442114116974</v>
      </c>
      <c r="AW16" s="106">
        <f t="shared" si="5"/>
        <v>1.6446049615782939E-2</v>
      </c>
      <c r="AX16" s="155">
        <f t="shared" si="6"/>
        <v>54</v>
      </c>
      <c r="AY16" s="118"/>
      <c r="AZ16" s="107">
        <f>AU16*(1-'SS24 Q2 Data'!$AB$5)</f>
        <v>1446432.7363074403</v>
      </c>
      <c r="BA16" s="92">
        <f t="shared" si="7"/>
        <v>0.24792322151670243</v>
      </c>
      <c r="BB16" s="106">
        <f t="shared" si="8"/>
        <v>1.6446049615782932E-2</v>
      </c>
      <c r="BC16" s="115">
        <f t="shared" si="9"/>
        <v>40.773576019684313</v>
      </c>
      <c r="BD16" s="118"/>
      <c r="BE16" s="107">
        <f>AU16*'SS24 Q2 Data'!$AB$5</f>
        <v>129487.87619255966</v>
      </c>
      <c r="BF16" s="92">
        <f t="shared" si="10"/>
        <v>1.2152420507185844</v>
      </c>
      <c r="BG16" s="106">
        <f t="shared" si="11"/>
        <v>1.6446049615782936E-2</v>
      </c>
      <c r="BH16" s="118">
        <f t="shared" si="12"/>
        <v>199.8593106130364</v>
      </c>
      <c r="BI16" s="118"/>
      <c r="BJ16" s="417">
        <f>Table1[[#This Row],[Net Sales Units]]/Table1[[#This Row],[Shoe Budget Units]]</f>
        <v>0.68960347858719095</v>
      </c>
      <c r="BK16" s="256">
        <f>Table1[[#This Row],[Net Sales (Units0]]/Table1[[#This Row],[Apparel Budget Units]]</f>
        <v>1.6653703412767142</v>
      </c>
      <c r="BL16" s="284">
        <f>Table1[[#This Row],[Net Sales Units total]]/Table1[[#This Row],[Units]]</f>
        <v>0.76977882352941174</v>
      </c>
      <c r="BM16" s="493">
        <f>ROUND(Table1[[#This Row],[Net Sales Units]]/'Hypotesis Panel'!$G$8,0)</f>
        <v>1921</v>
      </c>
      <c r="BN16" s="426">
        <f>ROUND('Hypotesis Panel'!$G$8/Table1[[#This Row],[ST% Shoes]],0)</f>
        <v>20</v>
      </c>
      <c r="BO16" s="482">
        <f>Table1[[#This Row],[Net Sales (Units0]]/'Hypotesis Panel'!$G$8</f>
        <v>415.40000000000003</v>
      </c>
      <c r="BP16" s="426">
        <f>IFERROR(ROUND('Hypotesis Panel'!$G$8/Table1[[#This Row],[ST% Apparel]],0),"NoStock")</f>
        <v>8</v>
      </c>
      <c r="BQ16" s="515">
        <f>IFERROR(ROUND('Hypotesis Panel'!$G$8/Table1[[#This Row],[ST% ToTal]],0),"")</f>
        <v>18</v>
      </c>
      <c r="BR16" s="433">
        <f>Table1[[#This Row],[Expected WoOS Shoes]]-'Hypotesis Panel'!$G$8</f>
        <v>6</v>
      </c>
      <c r="BS16" s="420">
        <f>IFERROR(Table1[[#This Row],[Expected WoOS Apparel]]-'Hypotesis Panel'!$G$8,"")</f>
        <v>-6</v>
      </c>
      <c r="BT16" s="435">
        <f>Table1[[#This Row],[Expected WoOS Total]]-'Hypotesis Panel'!$G$8</f>
        <v>4</v>
      </c>
      <c r="BU16" s="478">
        <f>Table1[[#This Row],[WOCoverage Shoes]]+'Hypotesis Panel'!$G$8-'Hypotesis Panel'!$F$3</f>
        <v>-6</v>
      </c>
      <c r="BV16" s="497" t="str">
        <f>_xlfn.XLOOKUP(Table1[[#This Row],[WOS at WK26 Shoes]],Table2[Lower Bound],Table2[Action],,-1)</f>
        <v>Stock Out Risk</v>
      </c>
      <c r="BW16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-773414.73836431233</v>
      </c>
      <c r="BX16" s="71">
        <f>Table1[[#This Row],[WOC Apparel]]+'Hypotesis Panel'!$G$8-'Hypotesis Panel'!$F$3</f>
        <v>-18</v>
      </c>
      <c r="BY16" s="479" t="str">
        <f>_xlfn.XLOOKUP(Table1[[#This Row],[WOS at WK26 Apparel]],Table2[Lower Bound],Table2[Action],,-1)</f>
        <v>Stock Out Risk</v>
      </c>
      <c r="CA16" s="285">
        <f>ROUND(Table1[[#This Row],[% Budget share]]*'Available Stock'!$H$6,0)</f>
        <v>16942</v>
      </c>
      <c r="CB16" s="475">
        <f>ROUND(Table1[[#This Row],[% Budget share]]*'Available Stock'!$I$6,0)</f>
        <v>10165</v>
      </c>
      <c r="CC16" s="482">
        <f>Table1[[#This Row],[Net Sales (Units0]]/'Hypotesis Panel'!$G$8</f>
        <v>415.40000000000003</v>
      </c>
      <c r="CD16" s="285">
        <f>ROUND(Table1[[#This Row],[% Budget share]]*'Available Stock'!$H$7,0)</f>
        <v>2533</v>
      </c>
      <c r="CE16" s="475">
        <f>ROUND(Table1[[#This Row],[% Budget share]]*'Available Stock'!$I$7,0)</f>
        <v>709</v>
      </c>
      <c r="CF16" s="482" t="e">
        <f>Table1[[#This Row],[Shoes Available Q2 Stock Current Season ]]/#REF!</f>
        <v>#REF!</v>
      </c>
      <c r="CG16" s="285" t="e">
        <f>Table1[[#This Row],[Shoes Available Q2 Stock Old Season]]/#REF!</f>
        <v>#REF!</v>
      </c>
      <c r="CH16" s="285" t="e">
        <f>SUM(Table1[[#This Row],[Q2 Shoes New Stock WOC based on Q1 Sales Velocity]:[Q2 Shoes Old Stock WOC based on Q1 Sales Velocity]])</f>
        <v>#REF!</v>
      </c>
      <c r="CI16" s="285">
        <f>IFERROR(Table1[[#This Row],[Apparel Q2 Available Stock Current Season 2]]/Table1[[#This Row],[Avg Apparel Q1 Weekly Sales2]],"")</f>
        <v>6.0977371208473752</v>
      </c>
      <c r="CJ16" s="285">
        <f>IFERROR(Table1[[#This Row],[Apparel Q2Available Stock Old Season3]]/Table1[[#This Row],[Avg Apparel Q1 Weekly Sales2]],"")</f>
        <v>1.7067886374578718</v>
      </c>
      <c r="CK16" s="475">
        <f>SUM(Table1[[#This Row],[Q2 Apparel New Stock WOC based on Q1 Sales Velocity]:[Q2 Apparel Old Stock WOC based on Q1 Sales Velocity]])</f>
        <v>7.804525758305247</v>
      </c>
    </row>
    <row r="17" spans="1:89">
      <c r="A17" s="131" t="s">
        <v>46</v>
      </c>
      <c r="B17" s="122" t="s">
        <v>49</v>
      </c>
      <c r="C17" s="565" t="s">
        <v>31</v>
      </c>
      <c r="D17" s="565" t="str">
        <f>_xlfn.CONCAT(Table1[[#This Row],[Sub Region]:[Account]])</f>
        <v>SouthItalyField Accounts</v>
      </c>
      <c r="E17" s="565" t="str">
        <f>_xlfn.IFNA(VLOOKUP(Table1[[#This Row],[Account]],'Account Information'!$A$4:$B$18,2,FALSE),"")</f>
        <v>Field Accounts</v>
      </c>
      <c r="F17" s="566">
        <v>1304135.04</v>
      </c>
      <c r="G17" s="123">
        <v>20800</v>
      </c>
      <c r="H17" s="374">
        <f>Table1[[#This Row],[Units]]/$G$2</f>
        <v>8.5179573283099223E-3</v>
      </c>
      <c r="I17" s="142">
        <f t="shared" si="1"/>
        <v>62.698799999999999</v>
      </c>
      <c r="J17" s="406">
        <f>Table1[[#This Row],[Units]]*(1-'Hypotesis Panel'!$F$46)</f>
        <v>19090.93686354379</v>
      </c>
      <c r="K17" s="406">
        <f>Table1[[#This Row],[Units]]-Table1[[#This Row],[Shoe Budget Units]]</f>
        <v>1709.0631364562105</v>
      </c>
      <c r="L17" s="146">
        <v>871807</v>
      </c>
      <c r="M17" s="123">
        <v>13000</v>
      </c>
      <c r="N17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13400</v>
      </c>
      <c r="O17" s="397">
        <f>Table1[[#This Row],[Net Sales (€)]]/Table1[[#This Row],[Net Sales Units]]</f>
        <v>65.060223880597022</v>
      </c>
      <c r="P17" s="125">
        <v>100</v>
      </c>
      <c r="Q17" s="365">
        <f>Table1[[#This Row],[Cancellations (units)]]/Table1[[#This Row],[Pre-Orders Invoiced (units)]]</f>
        <v>7.6923076923076927E-3</v>
      </c>
      <c r="R17" s="123">
        <v>500</v>
      </c>
      <c r="S17" s="370">
        <f>Table1[[#This Row],[Re-Orders Invoiced (units)]]/Table1[[#This Row],[Pre-Orders Invoiced (units)]]</f>
        <v>3.8461538461538464E-2</v>
      </c>
      <c r="T17" s="123">
        <v>0</v>
      </c>
      <c r="U17" s="370">
        <f>Table1[[#This Row],[Stock Clearance Invoiced (units)]]/Table1[[#This Row],[Pre-Orders Invoiced (units)]]</f>
        <v>0</v>
      </c>
      <c r="V17" s="123">
        <v>0</v>
      </c>
      <c r="W17" s="374">
        <f>Table1[[#This Row],[Returns Processed (units)]]/Table1[[#This Row],[Pre-Orders Invoiced (units)]]</f>
        <v>0</v>
      </c>
      <c r="X17" s="356">
        <v>45207.118000000002</v>
      </c>
      <c r="Y17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1032.4000000000001</v>
      </c>
      <c r="Z17" s="143">
        <f>Table1[[#This Row],[Net Sales (€)2]]/Table1[[#This Row],[Net Sales (Units0]]</f>
        <v>43.788374660984111</v>
      </c>
      <c r="AA17" s="123">
        <v>1040</v>
      </c>
      <c r="AB17" s="125">
        <v>8</v>
      </c>
      <c r="AC17" s="365">
        <f>IFERROR(Table1[[#This Row],[Cancellations (units)4]]/Table1[[#This Row],[Pre-Orders Invoiced (units)3]],0)</f>
        <v>7.6923076923076927E-3</v>
      </c>
      <c r="AD17" s="123">
        <v>0.4</v>
      </c>
      <c r="AE17" s="368">
        <f>IFERROR(Table1[[#This Row],[Re-Orders Invoiced (units)5]]/Table1[[#This Row],[Pre-Orders Invoiced (units)3]],0)</f>
        <v>3.8461538461538462E-4</v>
      </c>
      <c r="AF17" s="123">
        <v>0</v>
      </c>
      <c r="AG17" s="368">
        <f>IFERROR(Table1[[#This Row],[Stock Clearance Invoiced (units)6]]/Table1[[#This Row],[Pre-Orders Invoiced (units)3]],0)</f>
        <v>0</v>
      </c>
      <c r="AH17" s="123">
        <v>0</v>
      </c>
      <c r="AI17" s="381">
        <f>IFERROR(Table1[[#This Row],[Returns Processed (units)7]]/Table1[[#This Row],[Pre-Orders Invoiced (units)3]],0)</f>
        <v>0</v>
      </c>
      <c r="AJ17" s="393">
        <f>Table1[[#This Row],[Net Sales (€)2]]/Table1[[#This Row],[Net Sales (€)]]</f>
        <v>5.185450220060174E-2</v>
      </c>
      <c r="AK17" s="412">
        <f>Table1[[#This Row],[Net Sales (Units0]]+Table1[[#This Row],[Net Sales Units]]</f>
        <v>14432.4</v>
      </c>
      <c r="AL17" s="504">
        <f>Table1[[#This Row],[Net Sales (€)2]]+Table1[[#This Row],[Net Sales (€)]]</f>
        <v>917014.11800000002</v>
      </c>
      <c r="AM17" s="356">
        <v>3300</v>
      </c>
      <c r="AN17" s="147">
        <v>345</v>
      </c>
      <c r="AO17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13400</v>
      </c>
      <c r="AP17" s="245">
        <f>Table1[[#This Row],[Net Sales (€)]]/AO17</f>
        <v>65.060223880597022</v>
      </c>
      <c r="AQ17" s="123">
        <f>AA17-+AB17+Table1[[#This Row],[Re-Orders Invoiced (units)5]]+AF17+AH17</f>
        <v>1032.4000000000001</v>
      </c>
      <c r="AR17" s="123">
        <f>IFERROR(Table1[[#This Row],[Net Sales (€)2]]/AQ17,"")</f>
        <v>43.788374660984111</v>
      </c>
      <c r="AS17" s="62"/>
      <c r="AT17" s="91">
        <f t="shared" si="2"/>
        <v>917014.11800000002</v>
      </c>
      <c r="AU17" s="91">
        <f t="shared" si="3"/>
        <v>847687.77600000007</v>
      </c>
      <c r="AV17" s="92">
        <f t="shared" si="4"/>
        <v>8.1782873320565441E-2</v>
      </c>
      <c r="AW17" s="106">
        <f t="shared" si="5"/>
        <v>8.8463309079210954E-3</v>
      </c>
      <c r="AX17" s="155">
        <f t="shared" si="6"/>
        <v>7</v>
      </c>
      <c r="AY17" s="118"/>
      <c r="AZ17" s="107">
        <f>AU17*(1-'SS24 Q2 Data'!$AB$5)</f>
        <v>778036.24094297364</v>
      </c>
      <c r="BA17" s="92">
        <f t="shared" si="7"/>
        <v>0.12052235374457232</v>
      </c>
      <c r="BB17" s="106">
        <f t="shared" si="8"/>
        <v>8.8463309079210937E-3</v>
      </c>
      <c r="BC17" s="115">
        <f t="shared" si="9"/>
        <v>10.661806230260096</v>
      </c>
      <c r="BD17" s="118"/>
      <c r="BE17" s="107">
        <f>AU17*'SS24 Q2 Data'!$AB$5</f>
        <v>69651.535057026398</v>
      </c>
      <c r="BF17" s="92">
        <f t="shared" si="10"/>
        <v>-0.35095302690763108</v>
      </c>
      <c r="BG17" s="106">
        <f t="shared" si="11"/>
        <v>8.8463309079210954E-3</v>
      </c>
      <c r="BH17" s="118">
        <f t="shared" si="12"/>
        <v>-31.046466091614409</v>
      </c>
      <c r="BI17" s="118"/>
      <c r="BJ17" s="417">
        <f>Table1[[#This Row],[Net Sales Units]]/Table1[[#This Row],[Shoe Budget Units]]</f>
        <v>0.70190374080534257</v>
      </c>
      <c r="BK17" s="256">
        <f>Table1[[#This Row],[Net Sales (Units0]]/Table1[[#This Row],[Apparel Budget Units]]</f>
        <v>0.60407364595126067</v>
      </c>
      <c r="BL17" s="284">
        <f>Table1[[#This Row],[Net Sales Units total]]/Table1[[#This Row],[Units]]</f>
        <v>0.69386538461538461</v>
      </c>
      <c r="BM17" s="493">
        <f>ROUND(Table1[[#This Row],[Net Sales Units]]/'Hypotesis Panel'!$G$8,0)</f>
        <v>957</v>
      </c>
      <c r="BN17" s="426">
        <f>ROUND('Hypotesis Panel'!$G$8/Table1[[#This Row],[ST% Shoes]],0)</f>
        <v>20</v>
      </c>
      <c r="BO17" s="482">
        <f>Table1[[#This Row],[Net Sales (Units0]]/'Hypotesis Panel'!$G$8</f>
        <v>73.742857142857147</v>
      </c>
      <c r="BP17" s="426">
        <f>IFERROR(ROUND('Hypotesis Panel'!$G$8/Table1[[#This Row],[ST% Apparel]],0),"NoStock")</f>
        <v>23</v>
      </c>
      <c r="BQ17" s="515">
        <f>IFERROR(ROUND('Hypotesis Panel'!$G$8/Table1[[#This Row],[ST% ToTal]],0),"")</f>
        <v>20</v>
      </c>
      <c r="BR17" s="433">
        <f>Table1[[#This Row],[Expected WoOS Shoes]]-'Hypotesis Panel'!$G$8</f>
        <v>6</v>
      </c>
      <c r="BS17" s="420">
        <f>IFERROR(Table1[[#This Row],[Expected WoOS Apparel]]-'Hypotesis Panel'!$G$8,"")</f>
        <v>9</v>
      </c>
      <c r="BT17" s="435">
        <f>Table1[[#This Row],[Expected WoOS Total]]-'Hypotesis Panel'!$G$8</f>
        <v>6</v>
      </c>
      <c r="BU17" s="478">
        <f>Table1[[#This Row],[WOCoverage Shoes]]+'Hypotesis Panel'!$G$8-'Hypotesis Panel'!$F$3</f>
        <v>-6</v>
      </c>
      <c r="BV17" s="497" t="str">
        <f>_xlfn.XLOOKUP(Table1[[#This Row],[WOS at WK26 Shoes]],Table2[Lower Bound],Table2[Action],,-1)</f>
        <v>Stock Out Risk</v>
      </c>
      <c r="BW17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-373575.80552238808</v>
      </c>
      <c r="BX17" s="71">
        <f>Table1[[#This Row],[WOC Apparel]]+'Hypotesis Panel'!$G$8-'Hypotesis Panel'!$F$3</f>
        <v>-3</v>
      </c>
      <c r="BY17" s="479" t="str">
        <f>_xlfn.XLOOKUP(Table1[[#This Row],[WOS at WK26 Apparel]],Table2[Lower Bound],Table2[Action],,-1)</f>
        <v>Stock Out Risk</v>
      </c>
      <c r="CA17" s="285">
        <f>ROUND(Table1[[#This Row],[% Budget share]]*'Available Stock'!$H$6,0)</f>
        <v>8292</v>
      </c>
      <c r="CB17" s="475">
        <f>ROUND(Table1[[#This Row],[% Budget share]]*'Available Stock'!$I$6,0)</f>
        <v>4975</v>
      </c>
      <c r="CC17" s="482">
        <f>Table1[[#This Row],[Net Sales (Units0]]/'Hypotesis Panel'!$G$8</f>
        <v>73.742857142857147</v>
      </c>
      <c r="CD17" s="285">
        <f>ROUND(Table1[[#This Row],[% Budget share]]*'Available Stock'!$H$7,0)</f>
        <v>1240</v>
      </c>
      <c r="CE17" s="475">
        <f>ROUND(Table1[[#This Row],[% Budget share]]*'Available Stock'!$I$7,0)</f>
        <v>347</v>
      </c>
      <c r="CF17" s="482" t="e">
        <f>Table1[[#This Row],[Shoes Available Q2 Stock Current Season ]]/#REF!</f>
        <v>#REF!</v>
      </c>
      <c r="CG17" s="285" t="e">
        <f>Table1[[#This Row],[Shoes Available Q2 Stock Old Season]]/#REF!</f>
        <v>#REF!</v>
      </c>
      <c r="CH17" s="285" t="e">
        <f>SUM(Table1[[#This Row],[Q2 Shoes New Stock WOC based on Q1 Sales Velocity]:[Q2 Shoes Old Stock WOC based on Q1 Sales Velocity]])</f>
        <v>#REF!</v>
      </c>
      <c r="CI17" s="285">
        <f>IFERROR(Table1[[#This Row],[Apparel Q2 Available Stock Current Season 2]]/Table1[[#This Row],[Avg Apparel Q1 Weekly Sales2]],"")</f>
        <v>16.815187911662147</v>
      </c>
      <c r="CJ17" s="285">
        <f>IFERROR(Table1[[#This Row],[Apparel Q2Available Stock Old Season3]]/Table1[[#This Row],[Avg Apparel Q1 Weekly Sales2]],"")</f>
        <v>4.7055404881828746</v>
      </c>
      <c r="CK17" s="475">
        <f>SUM(Table1[[#This Row],[Q2 Apparel New Stock WOC based on Q1 Sales Velocity]:[Q2 Apparel Old Stock WOC based on Q1 Sales Velocity]])</f>
        <v>21.520728399845019</v>
      </c>
    </row>
    <row r="18" spans="1:89">
      <c r="A18" s="131" t="s">
        <v>34</v>
      </c>
      <c r="B18" s="126" t="s">
        <v>37</v>
      </c>
      <c r="C18" s="127" t="s">
        <v>39</v>
      </c>
      <c r="D18" s="127" t="str">
        <f>_xlfn.CONCAT(Table1[[#This Row],[Sub Region]:[Account]])</f>
        <v>NorthFranceVelocity Labs</v>
      </c>
      <c r="E18" s="127" t="str">
        <f>_xlfn.IFNA(VLOOKUP(Table1[[#This Row],[Account]],'Account Information'!$A$4:$B$18,2,FALSE),"")</f>
        <v>Sport</v>
      </c>
      <c r="F18" s="124">
        <v>1809249.0000000002</v>
      </c>
      <c r="G18" s="123">
        <v>29900</v>
      </c>
      <c r="H18" s="374">
        <f>Table1[[#This Row],[Units]]/$G$2</f>
        <v>1.2244563659445514E-2</v>
      </c>
      <c r="I18" s="142">
        <f t="shared" si="1"/>
        <v>60.510000000000005</v>
      </c>
      <c r="J18" s="406">
        <f>Table1[[#This Row],[Units]]*(1-'Hypotesis Panel'!$F$46)</f>
        <v>27443.221741344198</v>
      </c>
      <c r="K18" s="406">
        <f>Table1[[#This Row],[Units]]-Table1[[#This Row],[Shoe Budget Units]]</f>
        <v>2456.7782586558023</v>
      </c>
      <c r="L18" s="146">
        <v>786870</v>
      </c>
      <c r="M18" s="123">
        <v>12600</v>
      </c>
      <c r="N18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12100</v>
      </c>
      <c r="O18" s="397">
        <f>Table1[[#This Row],[Net Sales (€)]]/Table1[[#This Row],[Net Sales Units]]</f>
        <v>65.030578512396701</v>
      </c>
      <c r="P18" s="125">
        <v>500</v>
      </c>
      <c r="Q18" s="365">
        <f>Table1[[#This Row],[Cancellations (units)]]/Table1[[#This Row],[Pre-Orders Invoiced (units)]]</f>
        <v>3.968253968253968E-2</v>
      </c>
      <c r="R18" s="123">
        <v>0</v>
      </c>
      <c r="S18" s="370">
        <f>Table1[[#This Row],[Re-Orders Invoiced (units)]]/Table1[[#This Row],[Pre-Orders Invoiced (units)]]</f>
        <v>0</v>
      </c>
      <c r="T18" s="123">
        <v>0</v>
      </c>
      <c r="U18" s="370">
        <f>Table1[[#This Row],[Stock Clearance Invoiced (units)]]/Table1[[#This Row],[Pre-Orders Invoiced (units)]]</f>
        <v>0</v>
      </c>
      <c r="V18" s="123">
        <v>0</v>
      </c>
      <c r="W18" s="374">
        <f>Table1[[#This Row],[Returns Processed (units)]]/Table1[[#This Row],[Pre-Orders Invoiced (units)]]</f>
        <v>0</v>
      </c>
      <c r="X18" s="356">
        <v>55320.54</v>
      </c>
      <c r="Y18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1222</v>
      </c>
      <c r="Z18" s="143">
        <f>Table1[[#This Row],[Net Sales (€)2]]/Table1[[#This Row],[Net Sales (Units0]]</f>
        <v>45.270490998363343</v>
      </c>
      <c r="AA18" s="123">
        <v>1260</v>
      </c>
      <c r="AB18" s="125">
        <v>50</v>
      </c>
      <c r="AC18" s="365">
        <f>IFERROR(Table1[[#This Row],[Cancellations (units)4]]/Table1[[#This Row],[Pre-Orders Invoiced (units)3]],0)</f>
        <v>3.968253968253968E-2</v>
      </c>
      <c r="AD18" s="123">
        <v>12</v>
      </c>
      <c r="AE18" s="368">
        <f>IFERROR(Table1[[#This Row],[Re-Orders Invoiced (units)5]]/Table1[[#This Row],[Pre-Orders Invoiced (units)3]],0)</f>
        <v>9.5238095238095247E-3</v>
      </c>
      <c r="AF18" s="123">
        <v>0</v>
      </c>
      <c r="AG18" s="368">
        <f>IFERROR(Table1[[#This Row],[Stock Clearance Invoiced (units)6]]/Table1[[#This Row],[Pre-Orders Invoiced (units)3]],0)</f>
        <v>0</v>
      </c>
      <c r="AH18" s="123">
        <v>0</v>
      </c>
      <c r="AI18" s="381">
        <f>IFERROR(Table1[[#This Row],[Returns Processed (units)7]]/Table1[[#This Row],[Pre-Orders Invoiced (units)3]],0)</f>
        <v>0</v>
      </c>
      <c r="AJ18" s="393">
        <f>Table1[[#This Row],[Net Sales (€)2]]/Table1[[#This Row],[Net Sales (€)]]</f>
        <v>7.0304548400625264E-2</v>
      </c>
      <c r="AK18" s="412">
        <f>Table1[[#This Row],[Net Sales (Units0]]+Table1[[#This Row],[Net Sales Units]]</f>
        <v>13322</v>
      </c>
      <c r="AL18" s="504">
        <f>Table1[[#This Row],[Net Sales (€)2]]+Table1[[#This Row],[Net Sales (€)]]</f>
        <v>842190.54</v>
      </c>
      <c r="AM18" s="356">
        <v>10400</v>
      </c>
      <c r="AN18" s="147">
        <v>213</v>
      </c>
      <c r="AO18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12100</v>
      </c>
      <c r="AP18" s="245">
        <f>Table1[[#This Row],[Net Sales (€)]]/AO18</f>
        <v>65.030578512396701</v>
      </c>
      <c r="AQ18" s="123">
        <f>AA18-+AB18+Table1[[#This Row],[Re-Orders Invoiced (units)5]]+AF18+AH18</f>
        <v>1222</v>
      </c>
      <c r="AR18" s="123">
        <f>IFERROR(Table1[[#This Row],[Net Sales (€)2]]/AQ18,"")</f>
        <v>45.270490998363343</v>
      </c>
      <c r="AS18" s="62"/>
      <c r="AT18" s="91">
        <f t="shared" si="2"/>
        <v>842190.54</v>
      </c>
      <c r="AU18" s="91">
        <f t="shared" si="3"/>
        <v>1176011.8500000001</v>
      </c>
      <c r="AV18" s="92">
        <f t="shared" si="4"/>
        <v>-0.28385879785139922</v>
      </c>
      <c r="AW18" s="106">
        <f t="shared" si="5"/>
        <v>1.2272667214604812E-2</v>
      </c>
      <c r="AX18" s="155">
        <f t="shared" si="6"/>
        <v>-35</v>
      </c>
      <c r="AY18" s="118"/>
      <c r="AZ18" s="107">
        <f>AU18*(1-'SS24 Q2 Data'!$AB$5)</f>
        <v>1079383.0759196794</v>
      </c>
      <c r="BA18" s="92">
        <f t="shared" si="7"/>
        <v>-0.27100024305128745</v>
      </c>
      <c r="BB18" s="106">
        <f t="shared" si="8"/>
        <v>1.2272667214604807E-2</v>
      </c>
      <c r="BC18" s="115">
        <f t="shared" si="9"/>
        <v>-33.258957980454696</v>
      </c>
      <c r="BD18" s="118"/>
      <c r="BE18" s="107">
        <f>AU18*'SS24 Q2 Data'!$AB$5</f>
        <v>96628.774080320654</v>
      </c>
      <c r="BF18" s="92">
        <f t="shared" si="10"/>
        <v>-0.42749413384861989</v>
      </c>
      <c r="BG18" s="106">
        <f t="shared" si="11"/>
        <v>1.2272667214604809E-2</v>
      </c>
      <c r="BH18" s="118">
        <f t="shared" si="12"/>
        <v>-52.464932409198376</v>
      </c>
      <c r="BI18" s="118"/>
      <c r="BJ18" s="417">
        <f>Table1[[#This Row],[Net Sales Units]]/Table1[[#This Row],[Shoe Budget Units]]</f>
        <v>0.44091033166747023</v>
      </c>
      <c r="BK18" s="256">
        <f>Table1[[#This Row],[Net Sales (Units0]]/Table1[[#This Row],[Apparel Budget Units]]</f>
        <v>0.4973993870609239</v>
      </c>
      <c r="BL18" s="284">
        <f>Table1[[#This Row],[Net Sales Units total]]/Table1[[#This Row],[Units]]</f>
        <v>0.44555183946488297</v>
      </c>
      <c r="BM18" s="493">
        <f>ROUND(Table1[[#This Row],[Net Sales Units]]/'Hypotesis Panel'!$G$8,0)</f>
        <v>864</v>
      </c>
      <c r="BN18" s="426">
        <f>ROUND('Hypotesis Panel'!$G$8/Table1[[#This Row],[ST% Shoes]],0)</f>
        <v>32</v>
      </c>
      <c r="BO18" s="482">
        <f>Table1[[#This Row],[Net Sales (Units0]]/'Hypotesis Panel'!$G$8</f>
        <v>87.285714285714292</v>
      </c>
      <c r="BP18" s="426">
        <f>IFERROR(ROUND('Hypotesis Panel'!$G$8/Table1[[#This Row],[ST% Apparel]],0),"NoStock")</f>
        <v>28</v>
      </c>
      <c r="BQ18" s="515">
        <f>IFERROR(ROUND('Hypotesis Panel'!$G$8/Table1[[#This Row],[ST% ToTal]],0),"")</f>
        <v>31</v>
      </c>
      <c r="BR18" s="433">
        <f>Table1[[#This Row],[Expected WoOS Shoes]]-'Hypotesis Panel'!$G$8</f>
        <v>18</v>
      </c>
      <c r="BS18" s="420">
        <f>IFERROR(Table1[[#This Row],[Expected WoOS Apparel]]-'Hypotesis Panel'!$G$8,"")</f>
        <v>14</v>
      </c>
      <c r="BT18" s="435">
        <f>Table1[[#This Row],[Expected WoOS Total]]-'Hypotesis Panel'!$G$8</f>
        <v>17</v>
      </c>
      <c r="BU18" s="478">
        <f>Table1[[#This Row],[WOCoverage Shoes]]+'Hypotesis Panel'!$G$8-'Hypotesis Panel'!$F$3</f>
        <v>6</v>
      </c>
      <c r="BV18" s="497" t="str">
        <f>_xlfn.XLOOKUP(Table1[[#This Row],[WOS at WK26 Shoes]],Table2[Lower Bound],Table2[Action],,-1)</f>
        <v>Overstock</v>
      </c>
      <c r="BW18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18" s="71">
        <f>Table1[[#This Row],[WOC Apparel]]+'Hypotesis Panel'!$G$8-'Hypotesis Panel'!$F$3</f>
        <v>2</v>
      </c>
      <c r="BY18" s="479" t="str">
        <f>_xlfn.XLOOKUP(Table1[[#This Row],[WOS at WK26 Apparel]],Table2[Lower Bound],Table2[Action],,-1)</f>
        <v>Monitor</v>
      </c>
      <c r="CA18" s="285">
        <f>ROUND(Table1[[#This Row],[% Budget share]]*'Available Stock'!$H$6,0)</f>
        <v>11919</v>
      </c>
      <c r="CB18" s="475">
        <f>ROUND(Table1[[#This Row],[% Budget share]]*'Available Stock'!$I$6,0)</f>
        <v>7152</v>
      </c>
      <c r="CC18" s="482">
        <f>Table1[[#This Row],[Net Sales (Units0]]/'Hypotesis Panel'!$G$8</f>
        <v>87.285714285714292</v>
      </c>
      <c r="CD18" s="285">
        <f>ROUND(Table1[[#This Row],[% Budget share]]*'Available Stock'!$H$7,0)</f>
        <v>1782</v>
      </c>
      <c r="CE18" s="475">
        <f>ROUND(Table1[[#This Row],[% Budget share]]*'Available Stock'!$I$7,0)</f>
        <v>499</v>
      </c>
      <c r="CF18" s="482" t="e">
        <f>Table1[[#This Row],[Shoes Available Q2 Stock Current Season ]]/#REF!</f>
        <v>#REF!</v>
      </c>
      <c r="CG18" s="285" t="e">
        <f>Table1[[#This Row],[Shoes Available Q2 Stock Old Season]]/#REF!</f>
        <v>#REF!</v>
      </c>
      <c r="CH18" s="285" t="e">
        <f>SUM(Table1[[#This Row],[Q2 Shoes New Stock WOC based on Q1 Sales Velocity]:[Q2 Shoes Old Stock WOC based on Q1 Sales Velocity]])</f>
        <v>#REF!</v>
      </c>
      <c r="CI18" s="285">
        <f>IFERROR(Table1[[#This Row],[Apparel Q2 Available Stock Current Season 2]]/Table1[[#This Row],[Avg Apparel Q1 Weekly Sales2]],"")</f>
        <v>20.415711947626839</v>
      </c>
      <c r="CJ18" s="285">
        <f>IFERROR(Table1[[#This Row],[Apparel Q2Available Stock Old Season3]]/Table1[[#This Row],[Avg Apparel Q1 Weekly Sales2]],"")</f>
        <v>5.7168576104746309</v>
      </c>
      <c r="CK18" s="475">
        <f>SUM(Table1[[#This Row],[Q2 Apparel New Stock WOC based on Q1 Sales Velocity]:[Q2 Apparel Old Stock WOC based on Q1 Sales Velocity]])</f>
        <v>26.132569558101469</v>
      </c>
    </row>
    <row r="19" spans="1:89">
      <c r="A19" s="131" t="s">
        <v>34</v>
      </c>
      <c r="B19" s="122" t="s">
        <v>40</v>
      </c>
      <c r="C19" s="127" t="s">
        <v>42</v>
      </c>
      <c r="D19" s="127" t="str">
        <f>_xlfn.CONCAT(Table1[[#This Row],[Sub Region]:[Account]])</f>
        <v>NorthUnited KingdomTitan Sport</v>
      </c>
      <c r="E19" s="127" t="str">
        <f>_xlfn.IFNA(VLOOKUP(Table1[[#This Row],[Account]],'Account Information'!$A$4:$B$18,2,FALSE),"")</f>
        <v>Sport</v>
      </c>
      <c r="F19" s="124">
        <v>2912567.1240000045</v>
      </c>
      <c r="G19" s="123">
        <v>45300</v>
      </c>
      <c r="H19" s="374">
        <f>Table1[[#This Row],[Units]]/$G$2</f>
        <v>1.8551128219828822E-2</v>
      </c>
      <c r="I19" s="142">
        <f t="shared" si="1"/>
        <v>64.295080000000098</v>
      </c>
      <c r="J19" s="406">
        <f>Table1[[#This Row],[Units]]*(1-'Hypotesis Panel'!$F$46)</f>
        <v>41577.857688391043</v>
      </c>
      <c r="K19" s="406">
        <f>Table1[[#This Row],[Units]]-Table1[[#This Row],[Shoe Budget Units]]</f>
        <v>3722.1423116089572</v>
      </c>
      <c r="L19" s="146">
        <v>903579.24000000139</v>
      </c>
      <c r="M19" s="123">
        <v>15200</v>
      </c>
      <c r="N19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11240</v>
      </c>
      <c r="O19" s="397">
        <f>Table1[[#This Row],[Net Sales (€)]]/Table1[[#This Row],[Net Sales Units]]</f>
        <v>80.389612099644253</v>
      </c>
      <c r="P19" s="125">
        <v>2560</v>
      </c>
      <c r="Q19" s="365">
        <f>Table1[[#This Row],[Cancellations (units)]]/Table1[[#This Row],[Pre-Orders Invoiced (units)]]</f>
        <v>0.16842105263157894</v>
      </c>
      <c r="R19" s="123">
        <v>200</v>
      </c>
      <c r="S19" s="370">
        <f>Table1[[#This Row],[Re-Orders Invoiced (units)]]/Table1[[#This Row],[Pre-Orders Invoiced (units)]]</f>
        <v>1.3157894736842105E-2</v>
      </c>
      <c r="T19" s="123">
        <v>0</v>
      </c>
      <c r="U19" s="370">
        <f>Table1[[#This Row],[Stock Clearance Invoiced (units)]]/Table1[[#This Row],[Pre-Orders Invoiced (units)]]</f>
        <v>0</v>
      </c>
      <c r="V19" s="123">
        <v>-1600</v>
      </c>
      <c r="W19" s="385">
        <f>Table1[[#This Row],[Returns Processed (units)]]/Table1[[#This Row],[Pre-Orders Invoiced (units)]]</f>
        <v>-0.10526315789473684</v>
      </c>
      <c r="X19" s="356">
        <v>55539.19640000011</v>
      </c>
      <c r="Y19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918.8</v>
      </c>
      <c r="Z19" s="143">
        <f>Table1[[#This Row],[Net Sales (€)2]]/Table1[[#This Row],[Net Sales (Units0]]</f>
        <v>60.44753635176329</v>
      </c>
      <c r="AA19" s="123">
        <v>1064</v>
      </c>
      <c r="AB19" s="125">
        <v>179.20000000000002</v>
      </c>
      <c r="AC19" s="365">
        <f>IFERROR(Table1[[#This Row],[Cancellations (units)4]]/Table1[[#This Row],[Pre-Orders Invoiced (units)3]],0)</f>
        <v>0.16842105263157897</v>
      </c>
      <c r="AD19" s="123">
        <v>34</v>
      </c>
      <c r="AE19" s="368">
        <f>IFERROR(Table1[[#This Row],[Re-Orders Invoiced (units)5]]/Table1[[#This Row],[Pre-Orders Invoiced (units)3]],0)</f>
        <v>3.1954887218045111E-2</v>
      </c>
      <c r="AF19" s="123">
        <v>0</v>
      </c>
      <c r="AG19" s="368">
        <f>IFERROR(Table1[[#This Row],[Stock Clearance Invoiced (units)6]]/Table1[[#This Row],[Pre-Orders Invoiced (units)3]],0)</f>
        <v>0</v>
      </c>
      <c r="AH19" s="123">
        <v>0</v>
      </c>
      <c r="AI19" s="381">
        <f>IFERROR(Table1[[#This Row],[Returns Processed (units)7]]/Table1[[#This Row],[Pre-Orders Invoiced (units)3]],0)</f>
        <v>0</v>
      </c>
      <c r="AJ19" s="393">
        <f>Table1[[#This Row],[Net Sales (€)2]]/Table1[[#This Row],[Net Sales (€)]]</f>
        <v>6.1465772940954268E-2</v>
      </c>
      <c r="AK19" s="412">
        <f>Table1[[#This Row],[Net Sales (Units0]]+Table1[[#This Row],[Net Sales Units]]</f>
        <v>12158.8</v>
      </c>
      <c r="AL19" s="504">
        <f>Table1[[#This Row],[Net Sales (€)2]]+Table1[[#This Row],[Net Sales (€)]]</f>
        <v>959118.43640000152</v>
      </c>
      <c r="AM19" s="356">
        <v>24800</v>
      </c>
      <c r="AN19" s="147">
        <v>2345</v>
      </c>
      <c r="AO19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11240</v>
      </c>
      <c r="AP19" s="245">
        <f>Table1[[#This Row],[Net Sales (€)]]/AO19</f>
        <v>80.389612099644253</v>
      </c>
      <c r="AQ19" s="123">
        <f>AA19-+AB19+Table1[[#This Row],[Re-Orders Invoiced (units)5]]+AF19+AH19</f>
        <v>918.8</v>
      </c>
      <c r="AR19" s="123">
        <f>IFERROR(Table1[[#This Row],[Net Sales (€)2]]/AQ19,"")</f>
        <v>60.44753635176329</v>
      </c>
      <c r="AS19" s="62"/>
      <c r="AT19" s="91">
        <f t="shared" si="2"/>
        <v>959118.43640000152</v>
      </c>
      <c r="AU19" s="91">
        <f t="shared" si="3"/>
        <v>1893168.6306000031</v>
      </c>
      <c r="AV19" s="92">
        <f t="shared" si="4"/>
        <v>-0.49337928967477795</v>
      </c>
      <c r="AW19" s="106">
        <f t="shared" si="5"/>
        <v>1.9756798015668757E-2</v>
      </c>
      <c r="AX19" s="155">
        <f t="shared" si="6"/>
        <v>-97</v>
      </c>
      <c r="AY19" s="118"/>
      <c r="AZ19" s="107">
        <f>AU19*(1-'SS24 Q2 Data'!$AB$5)</f>
        <v>1737613.596097419</v>
      </c>
      <c r="BA19" s="92">
        <f t="shared" si="7"/>
        <v>-0.47998839210893096</v>
      </c>
      <c r="BB19" s="106">
        <f t="shared" si="8"/>
        <v>1.9756798015668754E-2</v>
      </c>
      <c r="BC19" s="115">
        <f t="shared" si="9"/>
        <v>-94.830337127617625</v>
      </c>
      <c r="BD19" s="118"/>
      <c r="BE19" s="107">
        <f>AU19*'SS24 Q2 Data'!$AB$5</f>
        <v>155555.03450258405</v>
      </c>
      <c r="BF19" s="92">
        <f t="shared" si="10"/>
        <v>-0.64296111291031532</v>
      </c>
      <c r="BG19" s="106">
        <f t="shared" si="11"/>
        <v>1.975679801566875E-2</v>
      </c>
      <c r="BH19" s="118">
        <f t="shared" si="12"/>
        <v>-127.0285283969869</v>
      </c>
      <c r="BI19" s="118"/>
      <c r="BJ19" s="417">
        <f>Table1[[#This Row],[Net Sales Units]]/Table1[[#This Row],[Shoe Budget Units]]</f>
        <v>0.27033619875846371</v>
      </c>
      <c r="BK19" s="256">
        <f>Table1[[#This Row],[Net Sales (Units0]]/Table1[[#This Row],[Apparel Budget Units]]</f>
        <v>0.24684709048720749</v>
      </c>
      <c r="BL19" s="284">
        <f>Table1[[#This Row],[Net Sales Units total]]/Table1[[#This Row],[Units]]</f>
        <v>0.26840618101545255</v>
      </c>
      <c r="BM19" s="493">
        <f>ROUND(Table1[[#This Row],[Net Sales Units]]/'Hypotesis Panel'!$G$8,0)</f>
        <v>803</v>
      </c>
      <c r="BN19" s="426">
        <f>ROUND('Hypotesis Panel'!$G$8/Table1[[#This Row],[ST% Shoes]],0)</f>
        <v>52</v>
      </c>
      <c r="BO19" s="482">
        <f>Table1[[#This Row],[Net Sales (Units0]]/'Hypotesis Panel'!$G$8</f>
        <v>65.628571428571419</v>
      </c>
      <c r="BP19" s="426">
        <f>IFERROR(ROUND('Hypotesis Panel'!$G$8/Table1[[#This Row],[ST% Apparel]],0),"NoStock")</f>
        <v>57</v>
      </c>
      <c r="BQ19" s="515">
        <f>IFERROR(ROUND('Hypotesis Panel'!$G$8/Table1[[#This Row],[ST% ToTal]],0),"")</f>
        <v>52</v>
      </c>
      <c r="BR19" s="433">
        <f>Table1[[#This Row],[Expected WoOS Shoes]]-'Hypotesis Panel'!$G$8</f>
        <v>38</v>
      </c>
      <c r="BS19" s="420">
        <f>IFERROR(Table1[[#This Row],[Expected WoOS Apparel]]-'Hypotesis Panel'!$G$8,"")</f>
        <v>43</v>
      </c>
      <c r="BT19" s="435">
        <f>Table1[[#This Row],[Expected WoOS Total]]-'Hypotesis Panel'!$G$8</f>
        <v>38</v>
      </c>
      <c r="BU19" s="478">
        <f>Table1[[#This Row],[WOCoverage Shoes]]+'Hypotesis Panel'!$G$8-'Hypotesis Panel'!$F$3</f>
        <v>26</v>
      </c>
      <c r="BV19" s="497" t="str">
        <f>_xlfn.XLOOKUP(Table1[[#This Row],[WOS at WK26 Shoes]],Table2[Lower Bound],Table2[Action],,-1)</f>
        <v>Overstock</v>
      </c>
      <c r="BW19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19" s="71">
        <f>Table1[[#This Row],[WOC Apparel]]+'Hypotesis Panel'!$G$8-'Hypotesis Panel'!$F$3</f>
        <v>31</v>
      </c>
      <c r="BY19" s="479" t="str">
        <f>_xlfn.XLOOKUP(Table1[[#This Row],[WOS at WK26 Apparel]],Table2[Lower Bound],Table2[Action],,-1)</f>
        <v>Overstock</v>
      </c>
      <c r="CA19" s="285">
        <f>ROUND(Table1[[#This Row],[% Budget share]]*'Available Stock'!$H$6,0)</f>
        <v>18058</v>
      </c>
      <c r="CB19" s="475">
        <f>ROUND(Table1[[#This Row],[% Budget share]]*'Available Stock'!$I$6,0)</f>
        <v>10835</v>
      </c>
      <c r="CC19" s="482">
        <f>Table1[[#This Row],[Net Sales (Units0]]/'Hypotesis Panel'!$G$8</f>
        <v>65.628571428571419</v>
      </c>
      <c r="CD19" s="285">
        <f>ROUND(Table1[[#This Row],[% Budget share]]*'Available Stock'!$H$7,0)</f>
        <v>2700</v>
      </c>
      <c r="CE19" s="475">
        <f>ROUND(Table1[[#This Row],[% Budget share]]*'Available Stock'!$I$7,0)</f>
        <v>756</v>
      </c>
      <c r="CF19" s="482" t="e">
        <f>Table1[[#This Row],[Shoes Available Q2 Stock Current Season ]]/#REF!</f>
        <v>#REF!</v>
      </c>
      <c r="CG19" s="285" t="e">
        <f>Table1[[#This Row],[Shoes Available Q2 Stock Old Season]]/#REF!</f>
        <v>#REF!</v>
      </c>
      <c r="CH19" s="285" t="e">
        <f>SUM(Table1[[#This Row],[Q2 Shoes New Stock WOC based on Q1 Sales Velocity]:[Q2 Shoes Old Stock WOC based on Q1 Sales Velocity]])</f>
        <v>#REF!</v>
      </c>
      <c r="CI19" s="285">
        <f>IFERROR(Table1[[#This Row],[Apparel Q2 Available Stock Current Season 2]]/Table1[[#This Row],[Avg Apparel Q1 Weekly Sales2]],"")</f>
        <v>41.140618197649111</v>
      </c>
      <c r="CJ19" s="285">
        <f>IFERROR(Table1[[#This Row],[Apparel Q2Available Stock Old Season3]]/Table1[[#This Row],[Avg Apparel Q1 Weekly Sales2]],"")</f>
        <v>11.519373095341752</v>
      </c>
      <c r="CK19" s="475">
        <f>SUM(Table1[[#This Row],[Q2 Apparel New Stock WOC based on Q1 Sales Velocity]:[Q2 Apparel Old Stock WOC based on Q1 Sales Velocity]])</f>
        <v>52.659991292990867</v>
      </c>
    </row>
    <row r="20" spans="1:89">
      <c r="A20" s="130" t="s">
        <v>50</v>
      </c>
      <c r="B20" s="122" t="s">
        <v>50</v>
      </c>
      <c r="C20" s="127" t="s">
        <v>53</v>
      </c>
      <c r="D20" s="127" t="str">
        <f>_xlfn.CONCAT(Table1[[#This Row],[Sub Region]:[Account]])</f>
        <v>EuropeEuropeStrike-Point</v>
      </c>
      <c r="E20" s="127" t="str">
        <f>_xlfn.IFNA(VLOOKUP(Table1[[#This Row],[Account]],'Account Information'!$A$4:$B$18,2,FALSE),"")</f>
        <v>Sport</v>
      </c>
      <c r="F20" s="124">
        <v>1176055.1600000001</v>
      </c>
      <c r="G20" s="123">
        <v>21200</v>
      </c>
      <c r="H20" s="374">
        <f>Table1[[#This Row],[Units]]/$G$2</f>
        <v>8.6817642000081904E-3</v>
      </c>
      <c r="I20" s="142">
        <f t="shared" si="1"/>
        <v>55.474300000000007</v>
      </c>
      <c r="J20" s="406">
        <f>Table1[[#This Row],[Units]]*(1-'Hypotesis Panel'!$F$46)</f>
        <v>19458.070264765785</v>
      </c>
      <c r="K20" s="406">
        <f>Table1[[#This Row],[Units]]-Table1[[#This Row],[Shoe Budget Units]]</f>
        <v>1741.9297352342146</v>
      </c>
      <c r="L20" s="146">
        <v>478890</v>
      </c>
      <c r="M20" s="123">
        <v>8500</v>
      </c>
      <c r="N20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8500</v>
      </c>
      <c r="O20" s="397">
        <f>Table1[[#This Row],[Net Sales (€)]]/Table1[[#This Row],[Net Sales Units]]</f>
        <v>56.34</v>
      </c>
      <c r="P20" s="125">
        <v>0</v>
      </c>
      <c r="Q20" s="365">
        <f>Table1[[#This Row],[Cancellations (units)]]/Table1[[#This Row],[Pre-Orders Invoiced (units)]]</f>
        <v>0</v>
      </c>
      <c r="R20" s="123">
        <v>0</v>
      </c>
      <c r="S20" s="370">
        <f>Table1[[#This Row],[Re-Orders Invoiced (units)]]/Table1[[#This Row],[Pre-Orders Invoiced (units)]]</f>
        <v>0</v>
      </c>
      <c r="T20" s="123">
        <v>0</v>
      </c>
      <c r="U20" s="370">
        <f>Table1[[#This Row],[Stock Clearance Invoiced (units)]]/Table1[[#This Row],[Pre-Orders Invoiced (units)]]</f>
        <v>0</v>
      </c>
      <c r="V20" s="123">
        <v>0</v>
      </c>
      <c r="W20" s="374">
        <f>Table1[[#This Row],[Returns Processed (units)]]/Table1[[#This Row],[Pre-Orders Invoiced (units)]]</f>
        <v>0</v>
      </c>
      <c r="X20" s="356">
        <v>54642.25</v>
      </c>
      <c r="Y20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1105</v>
      </c>
      <c r="Z20" s="143">
        <f>Table1[[#This Row],[Net Sales (€)2]]/Table1[[#This Row],[Net Sales (Units0]]</f>
        <v>49.45</v>
      </c>
      <c r="AA20" s="123">
        <v>1105</v>
      </c>
      <c r="AB20" s="125">
        <v>0</v>
      </c>
      <c r="AC20" s="365">
        <f>IFERROR(Table1[[#This Row],[Cancellations (units)4]]/Table1[[#This Row],[Pre-Orders Invoiced (units)3]],0)</f>
        <v>0</v>
      </c>
      <c r="AD20" s="123">
        <v>0</v>
      </c>
      <c r="AE20" s="368">
        <f>IFERROR(Table1[[#This Row],[Re-Orders Invoiced (units)5]]/Table1[[#This Row],[Pre-Orders Invoiced (units)3]],0)</f>
        <v>0</v>
      </c>
      <c r="AF20" s="123">
        <v>0</v>
      </c>
      <c r="AG20" s="368">
        <f>IFERROR(Table1[[#This Row],[Stock Clearance Invoiced (units)6]]/Table1[[#This Row],[Pre-Orders Invoiced (units)3]],0)</f>
        <v>0</v>
      </c>
      <c r="AH20" s="123">
        <v>0</v>
      </c>
      <c r="AI20" s="381">
        <f>IFERROR(Table1[[#This Row],[Returns Processed (units)7]]/Table1[[#This Row],[Pre-Orders Invoiced (units)3]],0)</f>
        <v>0</v>
      </c>
      <c r="AJ20" s="393">
        <f>Table1[[#This Row],[Net Sales (€)2]]/Table1[[#This Row],[Net Sales (€)]]</f>
        <v>0.1141018814341498</v>
      </c>
      <c r="AK20" s="412">
        <f>Table1[[#This Row],[Net Sales (Units0]]+Table1[[#This Row],[Net Sales Units]]</f>
        <v>9605</v>
      </c>
      <c r="AL20" s="504">
        <f>Table1[[#This Row],[Net Sales (€)2]]+Table1[[#This Row],[Net Sales (€)]]</f>
        <v>533532.25</v>
      </c>
      <c r="AM20" s="356">
        <v>2400</v>
      </c>
      <c r="AN20" s="147">
        <v>123</v>
      </c>
      <c r="AO20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8500</v>
      </c>
      <c r="AP20" s="245">
        <f>Table1[[#This Row],[Net Sales (€)]]/AO20</f>
        <v>56.34</v>
      </c>
      <c r="AQ20" s="123">
        <f>AA20-+AB20+Table1[[#This Row],[Re-Orders Invoiced (units)5]]+AF20+AH20</f>
        <v>1105</v>
      </c>
      <c r="AR20" s="123">
        <f>IFERROR(Table1[[#This Row],[Net Sales (€)2]]/AQ20,"")</f>
        <v>49.45</v>
      </c>
      <c r="AS20" s="62"/>
      <c r="AT20" s="91">
        <f t="shared" si="2"/>
        <v>533532.25</v>
      </c>
      <c r="AU20" s="91">
        <f t="shared" si="3"/>
        <v>764435.85400000017</v>
      </c>
      <c r="AV20" s="92">
        <f t="shared" si="4"/>
        <v>-0.30205752751100046</v>
      </c>
      <c r="AW20" s="106">
        <f t="shared" si="5"/>
        <v>7.9775274739401925E-3</v>
      </c>
      <c r="AX20" s="155">
        <f t="shared" si="6"/>
        <v>-24</v>
      </c>
      <c r="AY20" s="118"/>
      <c r="AZ20" s="107">
        <f>AU20*(1-'SS24 Q2 Data'!$AB$5)</f>
        <v>701624.83773765294</v>
      </c>
      <c r="BA20" s="92">
        <f t="shared" si="7"/>
        <v>-0.31745574808304677</v>
      </c>
      <c r="BB20" s="106">
        <f t="shared" si="8"/>
        <v>7.9775274739401891E-3</v>
      </c>
      <c r="BC20" s="115">
        <f t="shared" si="9"/>
        <v>-25.325119520927412</v>
      </c>
      <c r="BD20" s="118"/>
      <c r="BE20" s="107">
        <f>AU20*'SS24 Q2 Data'!$AB$5</f>
        <v>62811.016262347184</v>
      </c>
      <c r="BF20" s="92">
        <f t="shared" si="10"/>
        <v>-0.13005308222092959</v>
      </c>
      <c r="BG20" s="106">
        <f t="shared" si="11"/>
        <v>7.9775274739401908E-3</v>
      </c>
      <c r="BH20" s="118">
        <f t="shared" si="12"/>
        <v>-10.375020364880685</v>
      </c>
      <c r="BI20" s="118"/>
      <c r="BJ20" s="417">
        <f>Table1[[#This Row],[Net Sales Units]]/Table1[[#This Row],[Shoe Budget Units]]</f>
        <v>0.43683674096868691</v>
      </c>
      <c r="BK20" s="256">
        <f>Table1[[#This Row],[Net Sales (Units0]]/Table1[[#This Row],[Apparel Budget Units]]</f>
        <v>0.63435394531078781</v>
      </c>
      <c r="BL20" s="284">
        <f>Table1[[#This Row],[Net Sales Units total]]/Table1[[#This Row],[Units]]</f>
        <v>0.45306603773584908</v>
      </c>
      <c r="BM20" s="493">
        <f>ROUND(Table1[[#This Row],[Net Sales Units]]/'Hypotesis Panel'!$G$8,0)</f>
        <v>607</v>
      </c>
      <c r="BN20" s="426">
        <f>ROUND('Hypotesis Panel'!$G$8/Table1[[#This Row],[ST% Shoes]],0)</f>
        <v>32</v>
      </c>
      <c r="BO20" s="482">
        <f>Table1[[#This Row],[Net Sales (Units0]]/'Hypotesis Panel'!$G$8</f>
        <v>78.928571428571431</v>
      </c>
      <c r="BP20" s="426">
        <f>IFERROR(ROUND('Hypotesis Panel'!$G$8/Table1[[#This Row],[ST% Apparel]],0),"NoStock")</f>
        <v>22</v>
      </c>
      <c r="BQ20" s="515">
        <f>IFERROR(ROUND('Hypotesis Panel'!$G$8/Table1[[#This Row],[ST% ToTal]],0),"")</f>
        <v>31</v>
      </c>
      <c r="BR20" s="433">
        <f>Table1[[#This Row],[Expected WoOS Shoes]]-'Hypotesis Panel'!$G$8</f>
        <v>18</v>
      </c>
      <c r="BS20" s="420">
        <f>IFERROR(Table1[[#This Row],[Expected WoOS Apparel]]-'Hypotesis Panel'!$G$8,"")</f>
        <v>8</v>
      </c>
      <c r="BT20" s="435">
        <f>Table1[[#This Row],[Expected WoOS Total]]-'Hypotesis Panel'!$G$8</f>
        <v>17</v>
      </c>
      <c r="BU20" s="478">
        <f>Table1[[#This Row],[WOCoverage Shoes]]+'Hypotesis Panel'!$G$8-'Hypotesis Panel'!$F$3</f>
        <v>6</v>
      </c>
      <c r="BV20" s="497" t="str">
        <f>_xlfn.XLOOKUP(Table1[[#This Row],[WOS at WK26 Shoes]],Table2[Lower Bound],Table2[Action],,-1)</f>
        <v>Overstock</v>
      </c>
      <c r="BW20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20" s="71">
        <f>Table1[[#This Row],[WOC Apparel]]+'Hypotesis Panel'!$G$8-'Hypotesis Panel'!$F$3</f>
        <v>-4</v>
      </c>
      <c r="BY20" s="479" t="str">
        <f>_xlfn.XLOOKUP(Table1[[#This Row],[WOS at WK26 Apparel]],Table2[Lower Bound],Table2[Action],,-1)</f>
        <v>Stock Out Risk</v>
      </c>
      <c r="CA20" s="285">
        <f>ROUND(Table1[[#This Row],[% Budget share]]*'Available Stock'!$H$6,0)</f>
        <v>8451</v>
      </c>
      <c r="CB20" s="475">
        <f>ROUND(Table1[[#This Row],[% Budget share]]*'Available Stock'!$I$6,0)</f>
        <v>5071</v>
      </c>
      <c r="CC20" s="482">
        <f>Table1[[#This Row],[Net Sales (Units0]]/'Hypotesis Panel'!$G$8</f>
        <v>78.928571428571431</v>
      </c>
      <c r="CD20" s="285">
        <f>ROUND(Table1[[#This Row],[% Budget share]]*'Available Stock'!$H$7,0)</f>
        <v>1264</v>
      </c>
      <c r="CE20" s="475">
        <f>ROUND(Table1[[#This Row],[% Budget share]]*'Available Stock'!$I$7,0)</f>
        <v>354</v>
      </c>
      <c r="CF20" s="482" t="e">
        <f>Table1[[#This Row],[Shoes Available Q2 Stock Current Season ]]/#REF!</f>
        <v>#REF!</v>
      </c>
      <c r="CG20" s="285" t="e">
        <f>Table1[[#This Row],[Shoes Available Q2 Stock Old Season]]/#REF!</f>
        <v>#REF!</v>
      </c>
      <c r="CH20" s="285" t="e">
        <f>SUM(Table1[[#This Row],[Q2 Shoes New Stock WOC based on Q1 Sales Velocity]:[Q2 Shoes Old Stock WOC based on Q1 Sales Velocity]])</f>
        <v>#REF!</v>
      </c>
      <c r="CI20" s="285">
        <f>IFERROR(Table1[[#This Row],[Apparel Q2 Available Stock Current Season 2]]/Table1[[#This Row],[Avg Apparel Q1 Weekly Sales2]],"")</f>
        <v>16.01447963800905</v>
      </c>
      <c r="CJ20" s="285">
        <f>IFERROR(Table1[[#This Row],[Apparel Q2Available Stock Old Season3]]/Table1[[#This Row],[Avg Apparel Q1 Weekly Sales2]],"")</f>
        <v>4.4850678733031675</v>
      </c>
      <c r="CK20" s="475">
        <f>SUM(Table1[[#This Row],[Q2 Apparel New Stock WOC based on Q1 Sales Velocity]:[Q2 Apparel Old Stock WOC based on Q1 Sales Velocity]])</f>
        <v>20.499547511312215</v>
      </c>
    </row>
    <row r="21" spans="1:89">
      <c r="A21" s="131" t="s">
        <v>34</v>
      </c>
      <c r="B21" s="122" t="s">
        <v>43</v>
      </c>
      <c r="C21" s="565" t="s">
        <v>31</v>
      </c>
      <c r="D21" s="565" t="str">
        <f>_xlfn.CONCAT(Table1[[#This Row],[Sub Region]:[Account]])</f>
        <v>NorthNordicsField Accounts</v>
      </c>
      <c r="E21" s="565" t="str">
        <f>_xlfn.IFNA(VLOOKUP(Table1[[#This Row],[Account]],'Account Information'!$A$4:$B$18,2,FALSE),"")</f>
        <v>Field Accounts</v>
      </c>
      <c r="F21" s="567">
        <v>907754.39999999991</v>
      </c>
      <c r="G21" s="123">
        <v>12600</v>
      </c>
      <c r="H21" s="374">
        <f>Table1[[#This Row],[Units]]/$G$2</f>
        <v>5.159916458495434E-3</v>
      </c>
      <c r="I21" s="142">
        <f t="shared" si="1"/>
        <v>72.043999999999997</v>
      </c>
      <c r="J21" s="406">
        <f>Table1[[#This Row],[Units]]*(1-'Hypotesis Panel'!$F$46)</f>
        <v>11564.702138492872</v>
      </c>
      <c r="K21" s="406">
        <f>Table1[[#This Row],[Units]]-Table1[[#This Row],[Shoe Budget Units]]</f>
        <v>1035.2978615071279</v>
      </c>
      <c r="L21" s="148">
        <v>456297.6</v>
      </c>
      <c r="M21" s="123">
        <v>5400</v>
      </c>
      <c r="N21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4400</v>
      </c>
      <c r="O21" s="397">
        <f>Table1[[#This Row],[Net Sales (€)]]/Table1[[#This Row],[Net Sales Units]]</f>
        <v>103.70399999999999</v>
      </c>
      <c r="P21" s="125">
        <v>1500</v>
      </c>
      <c r="Q21" s="366">
        <f>Table1[[#This Row],[Cancellations (units)]]/Table1[[#This Row],[Pre-Orders Invoiced (units)]]</f>
        <v>0.27777777777777779</v>
      </c>
      <c r="R21" s="123">
        <v>600</v>
      </c>
      <c r="S21" s="370">
        <f>Table1[[#This Row],[Re-Orders Invoiced (units)]]/Table1[[#This Row],[Pre-Orders Invoiced (units)]]</f>
        <v>0.1111111111111111</v>
      </c>
      <c r="T21" s="123">
        <v>0</v>
      </c>
      <c r="U21" s="370">
        <f>Table1[[#This Row],[Stock Clearance Invoiced (units)]]/Table1[[#This Row],[Pre-Orders Invoiced (units)]]</f>
        <v>0</v>
      </c>
      <c r="V21" s="123">
        <v>-100</v>
      </c>
      <c r="W21" s="374">
        <f>Table1[[#This Row],[Returns Processed (units)]]/Table1[[#This Row],[Pre-Orders Invoiced (units)]]</f>
        <v>-1.8518518518518517E-2</v>
      </c>
      <c r="X21" s="356">
        <v>43184.408000000003</v>
      </c>
      <c r="Y21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463</v>
      </c>
      <c r="Z21" s="143">
        <f>Table1[[#This Row],[Net Sales (€)2]]/Table1[[#This Row],[Net Sales (Units0]]</f>
        <v>93.270859611231103</v>
      </c>
      <c r="AA21" s="123">
        <v>864</v>
      </c>
      <c r="AB21" s="125">
        <v>424</v>
      </c>
      <c r="AC21" s="366">
        <f>IFERROR(Table1[[#This Row],[Cancellations (units)4]]/Table1[[#This Row],[Pre-Orders Invoiced (units)3]],0)</f>
        <v>0.49074074074074076</v>
      </c>
      <c r="AD21" s="123">
        <v>23</v>
      </c>
      <c r="AE21" s="368">
        <f>IFERROR(Table1[[#This Row],[Re-Orders Invoiced (units)5]]/Table1[[#This Row],[Pre-Orders Invoiced (units)3]],0)</f>
        <v>2.6620370370370371E-2</v>
      </c>
      <c r="AF21" s="123">
        <v>0</v>
      </c>
      <c r="AG21" s="368">
        <f>IFERROR(Table1[[#This Row],[Stock Clearance Invoiced (units)6]]/Table1[[#This Row],[Pre-Orders Invoiced (units)3]],0)</f>
        <v>0</v>
      </c>
      <c r="AH21" s="123">
        <v>0</v>
      </c>
      <c r="AI21" s="381">
        <f>IFERROR(Table1[[#This Row],[Returns Processed (units)7]]/Table1[[#This Row],[Pre-Orders Invoiced (units)3]],0)</f>
        <v>0</v>
      </c>
      <c r="AJ21" s="393">
        <f>Table1[[#This Row],[Net Sales (€)2]]/Table1[[#This Row],[Net Sales (€)]]</f>
        <v>9.4640883493579644E-2</v>
      </c>
      <c r="AK21" s="412">
        <f>Table1[[#This Row],[Net Sales (Units0]]+Table1[[#This Row],[Net Sales Units]]</f>
        <v>4863</v>
      </c>
      <c r="AL21" s="505">
        <f>Table1[[#This Row],[Net Sales (€)2]]+Table1[[#This Row],[Net Sales (€)]]</f>
        <v>499482.00799999997</v>
      </c>
      <c r="AM21" s="356">
        <v>2200</v>
      </c>
      <c r="AN21" s="147">
        <v>2345</v>
      </c>
      <c r="AO21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4400</v>
      </c>
      <c r="AP21" s="245">
        <f>Table1[[#This Row],[Net Sales (€)]]/AO21</f>
        <v>103.70399999999999</v>
      </c>
      <c r="AQ21" s="123">
        <f>AA21-+AB21+Table1[[#This Row],[Re-Orders Invoiced (units)5]]+AF21+AH21</f>
        <v>463</v>
      </c>
      <c r="AR21" s="123">
        <f>IFERROR(Table1[[#This Row],[Net Sales (€)2]]/AQ21,"")</f>
        <v>93.270859611231103</v>
      </c>
      <c r="AS21" s="62"/>
      <c r="AT21" s="91">
        <f t="shared" si="2"/>
        <v>499482.00799999997</v>
      </c>
      <c r="AU21" s="91">
        <f t="shared" si="3"/>
        <v>590040.36</v>
      </c>
      <c r="AV21" s="92">
        <f t="shared" si="4"/>
        <v>-0.15347823325170507</v>
      </c>
      <c r="AW21" s="106">
        <f t="shared" si="5"/>
        <v>6.157564638031173E-3</v>
      </c>
      <c r="AX21" s="155">
        <f t="shared" si="6"/>
        <v>-9</v>
      </c>
      <c r="AY21" s="118"/>
      <c r="AZ21" s="107">
        <f>AU21*(1-'SS24 Q2 Data'!$AB$5)</f>
        <v>541558.81056262727</v>
      </c>
      <c r="BA21" s="92">
        <f t="shared" si="7"/>
        <v>-0.15743666043222371</v>
      </c>
      <c r="BB21" s="106">
        <f t="shared" si="8"/>
        <v>6.1575646380311704E-3</v>
      </c>
      <c r="BC21" s="115">
        <f t="shared" si="9"/>
        <v>-9.6942641300718186</v>
      </c>
      <c r="BD21" s="118"/>
      <c r="BE21" s="107">
        <f>AU21*'SS24 Q2 Data'!$AB$5</f>
        <v>48481.549437372647</v>
      </c>
      <c r="BF21" s="92">
        <f t="shared" si="10"/>
        <v>-0.10926097657450839</v>
      </c>
      <c r="BG21" s="106">
        <f t="shared" si="11"/>
        <v>6.1575646380311712E-3</v>
      </c>
      <c r="BH21" s="118">
        <f t="shared" si="12"/>
        <v>-6.7278152567194507</v>
      </c>
      <c r="BI21" s="118"/>
      <c r="BJ21" s="417">
        <f>Table1[[#This Row],[Net Sales Units]]/Table1[[#This Row],[Shoe Budget Units]]</f>
        <v>0.38046807840858182</v>
      </c>
      <c r="BK21" s="256">
        <f>Table1[[#This Row],[Net Sales (Units0]]/Table1[[#This Row],[Apparel Budget Units]]</f>
        <v>0.44721429186185208</v>
      </c>
      <c r="BL21" s="284">
        <f>Table1[[#This Row],[Net Sales Units total]]/Table1[[#This Row],[Units]]</f>
        <v>0.38595238095238094</v>
      </c>
      <c r="BM21" s="493">
        <f>ROUND(Table1[[#This Row],[Net Sales Units]]/'Hypotesis Panel'!$G$8,0)</f>
        <v>314</v>
      </c>
      <c r="BN21" s="426">
        <f>ROUND('Hypotesis Panel'!$G$8/Table1[[#This Row],[ST% Shoes]],0)</f>
        <v>37</v>
      </c>
      <c r="BO21" s="482">
        <f>Table1[[#This Row],[Net Sales (Units0]]/'Hypotesis Panel'!$G$8</f>
        <v>33.071428571428569</v>
      </c>
      <c r="BP21" s="426">
        <f>IFERROR(ROUND('Hypotesis Panel'!$G$8/Table1[[#This Row],[ST% Apparel]],0),"NoStock")</f>
        <v>31</v>
      </c>
      <c r="BQ21" s="515">
        <f>IFERROR(ROUND('Hypotesis Panel'!$G$8/Table1[[#This Row],[ST% ToTal]],0),"")</f>
        <v>36</v>
      </c>
      <c r="BR21" s="433">
        <f>Table1[[#This Row],[Expected WoOS Shoes]]-'Hypotesis Panel'!$G$8</f>
        <v>23</v>
      </c>
      <c r="BS21" s="420">
        <f>IFERROR(Table1[[#This Row],[Expected WoOS Apparel]]-'Hypotesis Panel'!$G$8,"")</f>
        <v>17</v>
      </c>
      <c r="BT21" s="435">
        <f>Table1[[#This Row],[Expected WoOS Total]]-'Hypotesis Panel'!$G$8</f>
        <v>22</v>
      </c>
      <c r="BU21" s="478">
        <f>Table1[[#This Row],[WOCoverage Shoes]]+'Hypotesis Panel'!$G$8-'Hypotesis Panel'!$F$3</f>
        <v>11</v>
      </c>
      <c r="BV21" s="497" t="str">
        <f>_xlfn.XLOOKUP(Table1[[#This Row],[WOS at WK26 Shoes]],Table2[Lower Bound],Table2[Action],,-1)</f>
        <v>Overstock</v>
      </c>
      <c r="BW21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21" s="71">
        <f>Table1[[#This Row],[WOC Apparel]]+'Hypotesis Panel'!$G$8-'Hypotesis Panel'!$F$3</f>
        <v>5</v>
      </c>
      <c r="BY21" s="479" t="str">
        <f>_xlfn.XLOOKUP(Table1[[#This Row],[WOS at WK26 Apparel]],Table2[Lower Bound],Table2[Action],,-1)</f>
        <v>Overstock</v>
      </c>
      <c r="CA21" s="285">
        <f>ROUND(Table1[[#This Row],[% Budget share]]*'Available Stock'!$H$6,0)</f>
        <v>5023</v>
      </c>
      <c r="CB21" s="475">
        <f>ROUND(Table1[[#This Row],[% Budget share]]*'Available Stock'!$I$6,0)</f>
        <v>3014</v>
      </c>
      <c r="CC21" s="482">
        <f>Table1[[#This Row],[Net Sales (Units0]]/'Hypotesis Panel'!$G$8</f>
        <v>33.071428571428569</v>
      </c>
      <c r="CD21" s="285">
        <f>ROUND(Table1[[#This Row],[% Budget share]]*'Available Stock'!$H$7,0)</f>
        <v>751</v>
      </c>
      <c r="CE21" s="475">
        <f>ROUND(Table1[[#This Row],[% Budget share]]*'Available Stock'!$I$7,0)</f>
        <v>210</v>
      </c>
      <c r="CF21" s="482" t="e">
        <f>Table1[[#This Row],[Shoes Available Q2 Stock Current Season ]]/#REF!</f>
        <v>#REF!</v>
      </c>
      <c r="CG21" s="285" t="e">
        <f>Table1[[#This Row],[Shoes Available Q2 Stock Old Season]]/#REF!</f>
        <v>#REF!</v>
      </c>
      <c r="CH21" s="285" t="e">
        <f>SUM(Table1[[#This Row],[Q2 Shoes New Stock WOC based on Q1 Sales Velocity]:[Q2 Shoes Old Stock WOC based on Q1 Sales Velocity]])</f>
        <v>#REF!</v>
      </c>
      <c r="CI21" s="285">
        <f>IFERROR(Table1[[#This Row],[Apparel Q2 Available Stock Current Season 2]]/Table1[[#This Row],[Avg Apparel Q1 Weekly Sales2]],"")</f>
        <v>22.708423326133911</v>
      </c>
      <c r="CJ21" s="285">
        <f>IFERROR(Table1[[#This Row],[Apparel Q2Available Stock Old Season3]]/Table1[[#This Row],[Avg Apparel Q1 Weekly Sales2]],"")</f>
        <v>6.3498920086393094</v>
      </c>
      <c r="CK21" s="475">
        <f>SUM(Table1[[#This Row],[Q2 Apparel New Stock WOC based on Q1 Sales Velocity]:[Q2 Apparel Old Stock WOC based on Q1 Sales Velocity]])</f>
        <v>29.058315334773219</v>
      </c>
    </row>
    <row r="22" spans="1:89">
      <c r="A22" s="131" t="s">
        <v>34</v>
      </c>
      <c r="B22" s="126" t="s">
        <v>37</v>
      </c>
      <c r="C22" s="127" t="s">
        <v>38</v>
      </c>
      <c r="D22" s="127" t="str">
        <f>_xlfn.CONCAT(Table1[[#This Row],[Sub Region]:[Account]])</f>
        <v>NorthFranceSwift-Pulse</v>
      </c>
      <c r="E22" s="127" t="str">
        <f>_xlfn.IFNA(VLOOKUP(Table1[[#This Row],[Account]],'Account Information'!$A$4:$B$18,2,FALSE),"")</f>
        <v>Lifestyle</v>
      </c>
      <c r="F22" s="124">
        <v>1001816.6400000016</v>
      </c>
      <c r="G22" s="123">
        <v>16500</v>
      </c>
      <c r="H22" s="374">
        <f>Table1[[#This Row],[Units]]/$G$2</f>
        <v>6.7570334575535445E-3</v>
      </c>
      <c r="I22" s="142">
        <f t="shared" si="1"/>
        <v>60.716160000000102</v>
      </c>
      <c r="J22" s="406">
        <f>Table1[[#This Row],[Units]]*(1-'Hypotesis Panel'!$F$46)</f>
        <v>15144.252800407334</v>
      </c>
      <c r="K22" s="406">
        <f>Table1[[#This Row],[Units]]-Table1[[#This Row],[Shoe Budget Units]]</f>
        <v>1355.7471995926662</v>
      </c>
      <c r="L22" s="146">
        <v>229781.10000000038</v>
      </c>
      <c r="M22" s="123">
        <v>3900</v>
      </c>
      <c r="N22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3700</v>
      </c>
      <c r="O22" s="397">
        <f>Table1[[#This Row],[Net Sales (€)]]/Table1[[#This Row],[Net Sales Units]]</f>
        <v>62.103000000000101</v>
      </c>
      <c r="P22" s="125">
        <v>0</v>
      </c>
      <c r="Q22" s="365">
        <f>Table1[[#This Row],[Cancellations (units)]]/Table1[[#This Row],[Pre-Orders Invoiced (units)]]</f>
        <v>0</v>
      </c>
      <c r="R22" s="123">
        <v>0</v>
      </c>
      <c r="S22" s="370">
        <f>Table1[[#This Row],[Re-Orders Invoiced (units)]]/Table1[[#This Row],[Pre-Orders Invoiced (units)]]</f>
        <v>0</v>
      </c>
      <c r="T22" s="123">
        <v>0</v>
      </c>
      <c r="U22" s="370">
        <f>Table1[[#This Row],[Stock Clearance Invoiced (units)]]/Table1[[#This Row],[Pre-Orders Invoiced (units)]]</f>
        <v>0</v>
      </c>
      <c r="V22" s="123">
        <v>-200</v>
      </c>
      <c r="W22" s="374">
        <f>Table1[[#This Row],[Returns Processed (units)]]/Table1[[#This Row],[Pre-Orders Invoiced (units)]]</f>
        <v>-5.128205128205128E-2</v>
      </c>
      <c r="X22" s="356">
        <v>16506.477000000035</v>
      </c>
      <c r="Y22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351</v>
      </c>
      <c r="Z22" s="143">
        <f>Table1[[#This Row],[Net Sales (€)2]]/Table1[[#This Row],[Net Sales (Units0]]</f>
        <v>47.0270000000001</v>
      </c>
      <c r="AA22" s="123">
        <v>351</v>
      </c>
      <c r="AB22" s="125">
        <v>0</v>
      </c>
      <c r="AC22" s="365">
        <f>IFERROR(Table1[[#This Row],[Cancellations (units)4]]/Table1[[#This Row],[Pre-Orders Invoiced (units)3]],0)</f>
        <v>0</v>
      </c>
      <c r="AD22" s="123">
        <v>0</v>
      </c>
      <c r="AE22" s="368">
        <f>IFERROR(Table1[[#This Row],[Re-Orders Invoiced (units)5]]/Table1[[#This Row],[Pre-Orders Invoiced (units)3]],0)</f>
        <v>0</v>
      </c>
      <c r="AF22" s="123">
        <v>0</v>
      </c>
      <c r="AG22" s="368">
        <f>IFERROR(Table1[[#This Row],[Stock Clearance Invoiced (units)6]]/Table1[[#This Row],[Pre-Orders Invoiced (units)3]],0)</f>
        <v>0</v>
      </c>
      <c r="AH22" s="123">
        <v>0</v>
      </c>
      <c r="AI22" s="381">
        <f>IFERROR(Table1[[#This Row],[Returns Processed (units)7]]/Table1[[#This Row],[Pre-Orders Invoiced (units)3]],0)</f>
        <v>0</v>
      </c>
      <c r="AJ22" s="393">
        <f>Table1[[#This Row],[Net Sales (€)2]]/Table1[[#This Row],[Net Sales (€)]]</f>
        <v>7.1835660113038047E-2</v>
      </c>
      <c r="AK22" s="412">
        <f>Table1[[#This Row],[Net Sales (Units0]]+Table1[[#This Row],[Net Sales Units]]</f>
        <v>4051</v>
      </c>
      <c r="AL22" s="504">
        <f>Table1[[#This Row],[Net Sales (€)2]]+Table1[[#This Row],[Net Sales (€)]]</f>
        <v>246287.57700000043</v>
      </c>
      <c r="AM22" s="356">
        <v>2300</v>
      </c>
      <c r="AN22" s="147">
        <v>324</v>
      </c>
      <c r="AO22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3700</v>
      </c>
      <c r="AP22" s="245">
        <f>Table1[[#This Row],[Net Sales (€)]]/AO22</f>
        <v>62.103000000000101</v>
      </c>
      <c r="AQ22" s="123">
        <f>AA22-+AB22+Table1[[#This Row],[Re-Orders Invoiced (units)5]]+AF22+AH22</f>
        <v>351</v>
      </c>
      <c r="AR22" s="123">
        <f>IFERROR(Table1[[#This Row],[Net Sales (€)2]]/AQ22,"")</f>
        <v>47.0270000000001</v>
      </c>
      <c r="AS22" s="62"/>
      <c r="AT22" s="91">
        <f t="shared" si="2"/>
        <v>246287.57700000043</v>
      </c>
      <c r="AU22" s="91">
        <f t="shared" si="3"/>
        <v>651180.81600000104</v>
      </c>
      <c r="AV22" s="92">
        <f t="shared" si="4"/>
        <v>-0.62178311929877239</v>
      </c>
      <c r="AW22" s="106">
        <f t="shared" si="5"/>
        <v>6.7956164313334264E-3</v>
      </c>
      <c r="AX22" s="155">
        <f t="shared" si="6"/>
        <v>-42</v>
      </c>
      <c r="AY22" s="118"/>
      <c r="AZ22" s="107">
        <f>AU22*(1-'SS24 Q2 Data'!$AB$5)</f>
        <v>597675.56947148778</v>
      </c>
      <c r="BA22" s="92">
        <f t="shared" si="7"/>
        <v>-0.61554209049703823</v>
      </c>
      <c r="BB22" s="106">
        <f t="shared" si="8"/>
        <v>6.7956164313334247E-3</v>
      </c>
      <c r="BC22" s="115">
        <f t="shared" si="9"/>
        <v>-41.829879443589988</v>
      </c>
      <c r="BD22" s="118"/>
      <c r="BE22" s="107">
        <f>AU22*'SS24 Q2 Data'!$AB$5</f>
        <v>53505.246528513257</v>
      </c>
      <c r="BF22" s="92">
        <f t="shared" si="10"/>
        <v>-0.6914979731715909</v>
      </c>
      <c r="BG22" s="106">
        <f t="shared" si="11"/>
        <v>6.7956164313334247E-3</v>
      </c>
      <c r="BH22" s="118">
        <f t="shared" si="12"/>
        <v>-46.991549887186231</v>
      </c>
      <c r="BI22" s="118"/>
      <c r="BJ22" s="417">
        <f>Table1[[#This Row],[Net Sales Units]]/Table1[[#This Row],[Shoe Budget Units]]</f>
        <v>0.24431710489542816</v>
      </c>
      <c r="BK22" s="256">
        <f>Table1[[#This Row],[Net Sales (Units0]]/Table1[[#This Row],[Apparel Budget Units]]</f>
        <v>0.25889782409689494</v>
      </c>
      <c r="BL22" s="284">
        <f>Table1[[#This Row],[Net Sales Units total]]/Table1[[#This Row],[Units]]</f>
        <v>0.24551515151515152</v>
      </c>
      <c r="BM22" s="493">
        <f>ROUND(Table1[[#This Row],[Net Sales Units]]/'Hypotesis Panel'!$G$8,0)</f>
        <v>264</v>
      </c>
      <c r="BN22" s="426">
        <f>ROUND('Hypotesis Panel'!$G$8/Table1[[#This Row],[ST% Shoes]],0)</f>
        <v>57</v>
      </c>
      <c r="BO22" s="482">
        <f>Table1[[#This Row],[Net Sales (Units0]]/'Hypotesis Panel'!$G$8</f>
        <v>25.071428571428573</v>
      </c>
      <c r="BP22" s="426">
        <f>IFERROR(ROUND('Hypotesis Panel'!$G$8/Table1[[#This Row],[ST% Apparel]],0),"NoStock")</f>
        <v>54</v>
      </c>
      <c r="BQ22" s="515">
        <f>IFERROR(ROUND('Hypotesis Panel'!$G$8/Table1[[#This Row],[ST% ToTal]],0),"")</f>
        <v>57</v>
      </c>
      <c r="BR22" s="433">
        <f>Table1[[#This Row],[Expected WoOS Shoes]]-'Hypotesis Panel'!$G$8</f>
        <v>43</v>
      </c>
      <c r="BS22" s="420">
        <f>IFERROR(Table1[[#This Row],[Expected WoOS Apparel]]-'Hypotesis Panel'!$G$8,"")</f>
        <v>40</v>
      </c>
      <c r="BT22" s="435">
        <f>Table1[[#This Row],[Expected WoOS Total]]-'Hypotesis Panel'!$G$8</f>
        <v>43</v>
      </c>
      <c r="BU22" s="478">
        <f>Table1[[#This Row],[WOCoverage Shoes]]+'Hypotesis Panel'!$G$8-'Hypotesis Panel'!$F$3</f>
        <v>31</v>
      </c>
      <c r="BV22" s="497" t="str">
        <f>_xlfn.XLOOKUP(Table1[[#This Row],[WOS at WK26 Shoes]],Table2[Lower Bound],Table2[Action],,-1)</f>
        <v>Overstock</v>
      </c>
      <c r="BW22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22" s="71">
        <f>Table1[[#This Row],[WOC Apparel]]+'Hypotesis Panel'!$G$8-'Hypotesis Panel'!$F$3</f>
        <v>28</v>
      </c>
      <c r="BY22" s="479" t="str">
        <f>_xlfn.XLOOKUP(Table1[[#This Row],[WOS at WK26 Apparel]],Table2[Lower Bound],Table2[Action],,-1)</f>
        <v>Overstock</v>
      </c>
      <c r="CA22" s="285">
        <f>ROUND(Table1[[#This Row],[% Budget share]]*'Available Stock'!$H$6,0)</f>
        <v>6578</v>
      </c>
      <c r="CB22" s="475">
        <f>ROUND(Table1[[#This Row],[% Budget share]]*'Available Stock'!$I$6,0)</f>
        <v>3947</v>
      </c>
      <c r="CC22" s="482">
        <f>Table1[[#This Row],[Net Sales (Units0]]/'Hypotesis Panel'!$G$8</f>
        <v>25.071428571428573</v>
      </c>
      <c r="CD22" s="285">
        <f>ROUND(Table1[[#This Row],[% Budget share]]*'Available Stock'!$H$7,0)</f>
        <v>983</v>
      </c>
      <c r="CE22" s="475">
        <f>ROUND(Table1[[#This Row],[% Budget share]]*'Available Stock'!$I$7,0)</f>
        <v>275</v>
      </c>
      <c r="CF22" s="482" t="e">
        <f>Table1[[#This Row],[Shoes Available Q2 Stock Current Season ]]/#REF!</f>
        <v>#REF!</v>
      </c>
      <c r="CG22" s="285" t="e">
        <f>Table1[[#This Row],[Shoes Available Q2 Stock Old Season]]/#REF!</f>
        <v>#REF!</v>
      </c>
      <c r="CH22" s="285" t="e">
        <f>SUM(Table1[[#This Row],[Q2 Shoes New Stock WOC based on Q1 Sales Velocity]:[Q2 Shoes Old Stock WOC based on Q1 Sales Velocity]])</f>
        <v>#REF!</v>
      </c>
      <c r="CI22" s="285">
        <f>IFERROR(Table1[[#This Row],[Apparel Q2 Available Stock Current Season 2]]/Table1[[#This Row],[Avg Apparel Q1 Weekly Sales2]],"")</f>
        <v>39.207977207977208</v>
      </c>
      <c r="CJ22" s="285">
        <f>IFERROR(Table1[[#This Row],[Apparel Q2Available Stock Old Season3]]/Table1[[#This Row],[Avg Apparel Q1 Weekly Sales2]],"")</f>
        <v>10.968660968660968</v>
      </c>
      <c r="CK22" s="475">
        <f>SUM(Table1[[#This Row],[Q2 Apparel New Stock WOC based on Q1 Sales Velocity]:[Q2 Apparel Old Stock WOC based on Q1 Sales Velocity]])</f>
        <v>50.176638176638178</v>
      </c>
    </row>
    <row r="23" spans="1:89">
      <c r="A23" s="131" t="s">
        <v>34</v>
      </c>
      <c r="B23" s="122" t="s">
        <v>40</v>
      </c>
      <c r="C23" s="127" t="s">
        <v>41</v>
      </c>
      <c r="D23" s="127" t="str">
        <f>_xlfn.CONCAT(Table1[[#This Row],[Sub Region]:[Account]])</f>
        <v>NorthUnited KingdomVelvet &amp; Vice</v>
      </c>
      <c r="E23" s="127" t="str">
        <f>_xlfn.IFNA(VLOOKUP(Table1[[#This Row],[Account]],'Account Information'!$A$4:$B$18,2,FALSE),"")</f>
        <v>Lifestyle</v>
      </c>
      <c r="F23" s="124">
        <v>1846642.5800000003</v>
      </c>
      <c r="G23" s="123">
        <v>33400</v>
      </c>
      <c r="H23" s="374">
        <f>Table1[[#This Row],[Units]]/$G$2</f>
        <v>1.3677873786805357E-2</v>
      </c>
      <c r="I23" s="142">
        <f t="shared" si="1"/>
        <v>55.288700000000006</v>
      </c>
      <c r="J23" s="406">
        <f>Table1[[#This Row],[Units]]*(1-'Hypotesis Panel'!$F$46)</f>
        <v>30655.639002036663</v>
      </c>
      <c r="K23" s="406">
        <f>Table1[[#This Row],[Units]]-Table1[[#This Row],[Shoe Budget Units]]</f>
        <v>2744.3609979633366</v>
      </c>
      <c r="L23" s="146">
        <v>594147.9</v>
      </c>
      <c r="M23" s="123">
        <v>10342</v>
      </c>
      <c r="N23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3567</v>
      </c>
      <c r="O23" s="397">
        <f>Table1[[#This Row],[Net Sales (€)]]/Table1[[#This Row],[Net Sales Units]]</f>
        <v>166.56795626576957</v>
      </c>
      <c r="P23" s="125">
        <v>6775</v>
      </c>
      <c r="Q23" s="366">
        <f>Table1[[#This Row],[Cancellations (units)]]/Table1[[#This Row],[Pre-Orders Invoiced (units)]]</f>
        <v>0.65509572616515177</v>
      </c>
      <c r="R23" s="123">
        <v>0</v>
      </c>
      <c r="S23" s="370">
        <f>Table1[[#This Row],[Re-Orders Invoiced (units)]]/Table1[[#This Row],[Pre-Orders Invoiced (units)]]</f>
        <v>0</v>
      </c>
      <c r="T23" s="123">
        <v>0</v>
      </c>
      <c r="U23" s="370">
        <f>Table1[[#This Row],[Stock Clearance Invoiced (units)]]/Table1[[#This Row],[Pre-Orders Invoiced (units)]]</f>
        <v>0</v>
      </c>
      <c r="V23" s="123">
        <v>0</v>
      </c>
      <c r="W23" s="374">
        <f>Table1[[#This Row],[Returns Processed (units)]]/Table1[[#This Row],[Pre-Orders Invoiced (units)]]</f>
        <v>0</v>
      </c>
      <c r="X23" s="356">
        <v>78930.910400000008</v>
      </c>
      <c r="Y23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1536.14</v>
      </c>
      <c r="Z23" s="143">
        <f>Table1[[#This Row],[Net Sales (€)2]]/Table1[[#This Row],[Net Sales (Units0]]</f>
        <v>51.382628145872125</v>
      </c>
      <c r="AA23" s="123">
        <v>1758.14</v>
      </c>
      <c r="AB23" s="125">
        <v>234</v>
      </c>
      <c r="AC23" s="366">
        <f>IFERROR(Table1[[#This Row],[Cancellations (units)4]]/Table1[[#This Row],[Pre-Orders Invoiced (units)3]],0)</f>
        <v>0.13309520288486695</v>
      </c>
      <c r="AD23" s="123">
        <v>12</v>
      </c>
      <c r="AE23" s="368">
        <f>IFERROR(Table1[[#This Row],[Re-Orders Invoiced (units)5]]/Table1[[#This Row],[Pre-Orders Invoiced (units)3]],0)</f>
        <v>6.8253950197367666E-3</v>
      </c>
      <c r="AF23" s="123">
        <v>0</v>
      </c>
      <c r="AG23" s="368">
        <f>IFERROR(Table1[[#This Row],[Stock Clearance Invoiced (units)6]]/Table1[[#This Row],[Pre-Orders Invoiced (units)3]],0)</f>
        <v>0</v>
      </c>
      <c r="AH23" s="123">
        <v>0</v>
      </c>
      <c r="AI23" s="381">
        <f>IFERROR(Table1[[#This Row],[Returns Processed (units)7]]/Table1[[#This Row],[Pre-Orders Invoiced (units)3]],0)</f>
        <v>0</v>
      </c>
      <c r="AJ23" s="393">
        <f>Table1[[#This Row],[Net Sales (€)2]]/Table1[[#This Row],[Net Sales (€)]]</f>
        <v>0.13284724291712552</v>
      </c>
      <c r="AK23" s="412">
        <f>Table1[[#This Row],[Net Sales (Units0]]+Table1[[#This Row],[Net Sales Units]]</f>
        <v>5103.1400000000003</v>
      </c>
      <c r="AL23" s="504">
        <f>Table1[[#This Row],[Net Sales (€)2]]+Table1[[#This Row],[Net Sales (€)]]</f>
        <v>673078.81040000007</v>
      </c>
      <c r="AM23" s="356">
        <v>15100</v>
      </c>
      <c r="AN23" s="147">
        <v>345</v>
      </c>
      <c r="AO23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3567</v>
      </c>
      <c r="AP23" s="245">
        <f>Table1[[#This Row],[Net Sales (€)]]/AO23</f>
        <v>166.56795626576957</v>
      </c>
      <c r="AQ23" s="123">
        <f>AA23-+AB23+Table1[[#This Row],[Re-Orders Invoiced (units)5]]+AF23+AH23</f>
        <v>1536.14</v>
      </c>
      <c r="AR23" s="123">
        <f>IFERROR(Table1[[#This Row],[Net Sales (€)2]]/AQ23,"")</f>
        <v>51.382628145872125</v>
      </c>
      <c r="AS23" s="62"/>
      <c r="AT23" s="91">
        <f t="shared" si="2"/>
        <v>673078.81040000007</v>
      </c>
      <c r="AU23" s="91">
        <f t="shared" si="3"/>
        <v>1200317.6770000001</v>
      </c>
      <c r="AV23" s="92">
        <f t="shared" si="4"/>
        <v>-0.43924943929656046</v>
      </c>
      <c r="AW23" s="106">
        <f t="shared" si="5"/>
        <v>1.2526318847576672E-2</v>
      </c>
      <c r="AX23" s="155">
        <f t="shared" si="6"/>
        <v>-55</v>
      </c>
      <c r="AY23" s="118"/>
      <c r="AZ23" s="107">
        <f>AU23*(1-'SS24 Q2 Data'!$AB$5)</f>
        <v>1101691.7782597381</v>
      </c>
      <c r="BA23" s="92">
        <f t="shared" si="7"/>
        <v>-0.46069498590746316</v>
      </c>
      <c r="BB23" s="106">
        <f t="shared" si="8"/>
        <v>1.2526318847576668E-2</v>
      </c>
      <c r="BC23" s="115">
        <f t="shared" si="9"/>
        <v>-57.708122849567232</v>
      </c>
      <c r="BD23" s="118"/>
      <c r="BE23" s="107">
        <f>AU23*'SS24 Q2 Data'!$AB$5</f>
        <v>98625.898740262099</v>
      </c>
      <c r="BF23" s="92">
        <f t="shared" si="10"/>
        <v>-0.19969387951667905</v>
      </c>
      <c r="BG23" s="106">
        <f t="shared" si="11"/>
        <v>1.2526318847576667E-2</v>
      </c>
      <c r="BH23" s="118">
        <f t="shared" si="12"/>
        <v>-25.014292067354809</v>
      </c>
      <c r="BI23" s="118"/>
      <c r="BJ23" s="440">
        <f>Table1[[#This Row],[Net Sales Units]]/Table1[[#This Row],[Shoe Budget Units]]</f>
        <v>0.11635705912908943</v>
      </c>
      <c r="BK23" s="256">
        <f>Table1[[#This Row],[Net Sales (Units0]]/Table1[[#This Row],[Apparel Budget Units]]</f>
        <v>0.55974414486286994</v>
      </c>
      <c r="BL23" s="284">
        <f>Table1[[#This Row],[Net Sales Units total]]/Table1[[#This Row],[Units]]</f>
        <v>0.15278862275449104</v>
      </c>
      <c r="BM23" s="493">
        <f>ROUND(Table1[[#This Row],[Net Sales Units]]/'Hypotesis Panel'!$G$8,0)</f>
        <v>255</v>
      </c>
      <c r="BN23" s="426">
        <f>ROUND('Hypotesis Panel'!$G$8/Table1[[#This Row],[ST% Shoes]],0)</f>
        <v>120</v>
      </c>
      <c r="BO23" s="482">
        <f>Table1[[#This Row],[Net Sales (Units0]]/'Hypotesis Panel'!$G$8</f>
        <v>109.72428571428573</v>
      </c>
      <c r="BP23" s="426">
        <f>IFERROR(ROUND('Hypotesis Panel'!$G$8/Table1[[#This Row],[ST% Apparel]],0),"NoStock")</f>
        <v>25</v>
      </c>
      <c r="BQ23" s="515">
        <f>IFERROR(ROUND('Hypotesis Panel'!$G$8/Table1[[#This Row],[ST% ToTal]],0),"")</f>
        <v>92</v>
      </c>
      <c r="BR23" s="433">
        <f>Table1[[#This Row],[Expected WoOS Shoes]]-'Hypotesis Panel'!$G$8</f>
        <v>106</v>
      </c>
      <c r="BS23" s="420">
        <f>IFERROR(Table1[[#This Row],[Expected WoOS Apparel]]-'Hypotesis Panel'!$G$8,"")</f>
        <v>11</v>
      </c>
      <c r="BT23" s="435">
        <f>Table1[[#This Row],[Expected WoOS Total]]-'Hypotesis Panel'!$G$8</f>
        <v>78</v>
      </c>
      <c r="BU23" s="478">
        <f>Table1[[#This Row],[WOCoverage Shoes]]+'Hypotesis Panel'!$G$8-'Hypotesis Panel'!$F$3</f>
        <v>94</v>
      </c>
      <c r="BV23" s="497" t="str">
        <f>_xlfn.XLOOKUP(Table1[[#This Row],[WOS at WK26 Shoes]],Table2[Lower Bound],Table2[Action],,-1)</f>
        <v>Overstock</v>
      </c>
      <c r="BW23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23" s="71">
        <f>Table1[[#This Row],[WOC Apparel]]+'Hypotesis Panel'!$G$8-'Hypotesis Panel'!$F$3</f>
        <v>-1</v>
      </c>
      <c r="BY23" s="479" t="str">
        <f>_xlfn.XLOOKUP(Table1[[#This Row],[WOS at WK26 Apparel]],Table2[Lower Bound],Table2[Action],,-1)</f>
        <v>Stock Out Risk</v>
      </c>
      <c r="CA23" s="285">
        <f>ROUND(Table1[[#This Row],[% Budget share]]*'Available Stock'!$H$6,0)</f>
        <v>13315</v>
      </c>
      <c r="CB23" s="475">
        <f>ROUND(Table1[[#This Row],[% Budget share]]*'Available Stock'!$I$6,0)</f>
        <v>7989</v>
      </c>
      <c r="CC23" s="482">
        <f>Table1[[#This Row],[Net Sales (Units0]]/'Hypotesis Panel'!$G$8</f>
        <v>109.72428571428573</v>
      </c>
      <c r="CD23" s="285">
        <f>ROUND(Table1[[#This Row],[% Budget share]]*'Available Stock'!$H$7,0)</f>
        <v>1991</v>
      </c>
      <c r="CE23" s="475">
        <f>ROUND(Table1[[#This Row],[% Budget share]]*'Available Stock'!$I$7,0)</f>
        <v>557</v>
      </c>
      <c r="CF23" s="482" t="e">
        <f>Table1[[#This Row],[Shoes Available Q2 Stock Current Season ]]/#REF!</f>
        <v>#REF!</v>
      </c>
      <c r="CG23" s="285" t="e">
        <f>Table1[[#This Row],[Shoes Available Q2 Stock Old Season]]/#REF!</f>
        <v>#REF!</v>
      </c>
      <c r="CH23" s="285" t="e">
        <f>SUM(Table1[[#This Row],[Q2 Shoes New Stock WOC based on Q1 Sales Velocity]:[Q2 Shoes Old Stock WOC based on Q1 Sales Velocity]])</f>
        <v>#REF!</v>
      </c>
      <c r="CI23" s="285">
        <f>IFERROR(Table1[[#This Row],[Apparel Q2 Available Stock Current Season 2]]/Table1[[#This Row],[Avg Apparel Q1 Weekly Sales2]],"")</f>
        <v>18.14548153163123</v>
      </c>
      <c r="CJ23" s="285">
        <f>IFERROR(Table1[[#This Row],[Apparel Q2Available Stock Old Season3]]/Table1[[#This Row],[Avg Apparel Q1 Weekly Sales2]],"")</f>
        <v>5.0763602275834225</v>
      </c>
      <c r="CK23" s="475">
        <f>SUM(Table1[[#This Row],[Q2 Apparel New Stock WOC based on Q1 Sales Velocity]:[Q2 Apparel Old Stock WOC based on Q1 Sales Velocity]])</f>
        <v>23.221841759214652</v>
      </c>
    </row>
    <row r="24" spans="1:89">
      <c r="A24" s="131" t="s">
        <v>34</v>
      </c>
      <c r="B24" s="122" t="s">
        <v>35</v>
      </c>
      <c r="C24" s="127" t="s">
        <v>36</v>
      </c>
      <c r="D24" s="127" t="str">
        <f>_xlfn.CONCAT(Table1[[#This Row],[Sub Region]:[Account]])</f>
        <v>NorthBeNeLuxVanguard Wilds</v>
      </c>
      <c r="E24" s="127" t="str">
        <f>_xlfn.IFNA(VLOOKUP(Table1[[#This Row],[Account]],'Account Information'!$A$4:$B$18,2,FALSE),"")</f>
        <v>Sport</v>
      </c>
      <c r="F24" s="128">
        <v>341388.00000000006</v>
      </c>
      <c r="G24" s="123">
        <v>5800</v>
      </c>
      <c r="H24" s="374">
        <f>Table1[[#This Row],[Units]]/$G$2</f>
        <v>2.3751996396248823E-3</v>
      </c>
      <c r="I24" s="142">
        <f t="shared" si="1"/>
        <v>58.860000000000007</v>
      </c>
      <c r="J24" s="406">
        <f>Table1[[#This Row],[Units]]*(1-'Hypotesis Panel'!$F$46)</f>
        <v>5323.4343177189412</v>
      </c>
      <c r="K24" s="406">
        <f>Table1[[#This Row],[Units]]-Table1[[#This Row],[Shoe Budget Units]]</f>
        <v>476.5656822810588</v>
      </c>
      <c r="L24" s="148">
        <v>229292</v>
      </c>
      <c r="M24" s="123">
        <v>3800</v>
      </c>
      <c r="N24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3300</v>
      </c>
      <c r="O24" s="397">
        <f>Table1[[#This Row],[Net Sales (€)]]/Table1[[#This Row],[Net Sales Units]]</f>
        <v>69.482424242424244</v>
      </c>
      <c r="P24" s="125">
        <v>500</v>
      </c>
      <c r="Q24" s="365">
        <f>Table1[[#This Row],[Cancellations (units)]]/Table1[[#This Row],[Pre-Orders Invoiced (units)]]</f>
        <v>0.13157894736842105</v>
      </c>
      <c r="R24" s="123">
        <v>0</v>
      </c>
      <c r="S24" s="370">
        <f>Table1[[#This Row],[Re-Orders Invoiced (units)]]/Table1[[#This Row],[Pre-Orders Invoiced (units)]]</f>
        <v>0</v>
      </c>
      <c r="T24" s="123">
        <v>0</v>
      </c>
      <c r="U24" s="370">
        <f>Table1[[#This Row],[Stock Clearance Invoiced (units)]]/Table1[[#This Row],[Pre-Orders Invoiced (units)]]</f>
        <v>0</v>
      </c>
      <c r="V24" s="123">
        <v>0</v>
      </c>
      <c r="W24" s="374">
        <f>Table1[[#This Row],[Returns Processed (units)]]/Table1[[#This Row],[Pre-Orders Invoiced (units)]]</f>
        <v>0</v>
      </c>
      <c r="X24" s="356">
        <v>17229.2</v>
      </c>
      <c r="Y24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357</v>
      </c>
      <c r="Z24" s="143">
        <f>Table1[[#This Row],[Net Sales (€)2]]/Table1[[#This Row],[Net Sales (Units0]]</f>
        <v>48.261064425770307</v>
      </c>
      <c r="AA24" s="123">
        <v>380</v>
      </c>
      <c r="AB24" s="125">
        <v>23</v>
      </c>
      <c r="AC24" s="365">
        <f>IFERROR(Table1[[#This Row],[Cancellations (units)4]]/Table1[[#This Row],[Pre-Orders Invoiced (units)3]],0)</f>
        <v>6.0526315789473685E-2</v>
      </c>
      <c r="AD24" s="123">
        <v>0</v>
      </c>
      <c r="AE24" s="368">
        <f>IFERROR(Table1[[#This Row],[Re-Orders Invoiced (units)5]]/Table1[[#This Row],[Pre-Orders Invoiced (units)3]],0)</f>
        <v>0</v>
      </c>
      <c r="AF24" s="123">
        <v>0</v>
      </c>
      <c r="AG24" s="368">
        <f>IFERROR(Table1[[#This Row],[Stock Clearance Invoiced (units)6]]/Table1[[#This Row],[Pre-Orders Invoiced (units)3]],0)</f>
        <v>0</v>
      </c>
      <c r="AH24" s="123">
        <v>0</v>
      </c>
      <c r="AI24" s="381">
        <f>IFERROR(Table1[[#This Row],[Returns Processed (units)7]]/Table1[[#This Row],[Pre-Orders Invoiced (units)3]],0)</f>
        <v>0</v>
      </c>
      <c r="AJ24" s="393">
        <f>Table1[[#This Row],[Net Sales (€)2]]/Table1[[#This Row],[Net Sales (€)]]</f>
        <v>7.5140868412330128E-2</v>
      </c>
      <c r="AK24" s="412">
        <f>Table1[[#This Row],[Net Sales (Units0]]+Table1[[#This Row],[Net Sales Units]]</f>
        <v>3657</v>
      </c>
      <c r="AL24" s="505">
        <f>Table1[[#This Row],[Net Sales (€)2]]+Table1[[#This Row],[Net Sales (€)]]</f>
        <v>246521.2</v>
      </c>
      <c r="AM24" s="356">
        <v>600</v>
      </c>
      <c r="AN24" s="147">
        <v>0</v>
      </c>
      <c r="AO24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3300</v>
      </c>
      <c r="AP24" s="245">
        <f>Table1[[#This Row],[Net Sales (€)]]/AO24</f>
        <v>69.482424242424244</v>
      </c>
      <c r="AQ24" s="123">
        <f>AA24-+AB24+Table1[[#This Row],[Re-Orders Invoiced (units)5]]+AF24+AH24</f>
        <v>357</v>
      </c>
      <c r="AR24" s="123">
        <f>IFERROR(Table1[[#This Row],[Net Sales (€)2]]/AQ24,"")</f>
        <v>48.261064425770307</v>
      </c>
      <c r="AS24" s="62"/>
      <c r="AT24" s="91">
        <f t="shared" si="2"/>
        <v>246521.2</v>
      </c>
      <c r="AU24" s="91">
        <f t="shared" si="3"/>
        <v>221902.20000000004</v>
      </c>
      <c r="AV24" s="92">
        <f t="shared" si="4"/>
        <v>0.11094527228661977</v>
      </c>
      <c r="AW24" s="106">
        <f t="shared" si="5"/>
        <v>2.315735045347273E-3</v>
      </c>
      <c r="AX24" s="155">
        <f t="shared" si="6"/>
        <v>3</v>
      </c>
      <c r="AY24" s="118"/>
      <c r="AZ24" s="107">
        <f>AU24*(1-'SS24 Q2 Data'!$AB$5)</f>
        <v>203669.27356160901</v>
      </c>
      <c r="BA24" s="92">
        <f t="shared" si="7"/>
        <v>0.12580555716785735</v>
      </c>
      <c r="BB24" s="106">
        <f t="shared" si="8"/>
        <v>2.3157350453472721E-3</v>
      </c>
      <c r="BC24" s="115">
        <f t="shared" si="9"/>
        <v>2.91332337633047</v>
      </c>
      <c r="BD24" s="118"/>
      <c r="BE24" s="107">
        <f>AU24*'SS24 Q2 Data'!$AB$5</f>
        <v>18232.926438391019</v>
      </c>
      <c r="BF24" s="92">
        <f t="shared" si="10"/>
        <v>-5.505021049597314E-2</v>
      </c>
      <c r="BG24" s="106">
        <f t="shared" si="11"/>
        <v>2.3157350453472726E-3</v>
      </c>
      <c r="BH24" s="118">
        <f t="shared" si="12"/>
        <v>-1.2748170169926925</v>
      </c>
      <c r="BI24" s="118"/>
      <c r="BJ24" s="417">
        <f>Table1[[#This Row],[Net Sales Units]]/Table1[[#This Row],[Shoe Budget Units]]</f>
        <v>0.6199005760277756</v>
      </c>
      <c r="BK24" s="256">
        <f>Table1[[#This Row],[Net Sales (Units0]]/Table1[[#This Row],[Apparel Budget Units]]</f>
        <v>0.74910975186303097</v>
      </c>
      <c r="BL24" s="284">
        <f>Table1[[#This Row],[Net Sales Units total]]/Table1[[#This Row],[Units]]</f>
        <v>0.63051724137931031</v>
      </c>
      <c r="BM24" s="493">
        <f>ROUND(Table1[[#This Row],[Net Sales Units]]/'Hypotesis Panel'!$G$8,0)</f>
        <v>236</v>
      </c>
      <c r="BN24" s="426">
        <f>ROUND('Hypotesis Panel'!$G$8/Table1[[#This Row],[ST% Shoes]],0)</f>
        <v>23</v>
      </c>
      <c r="BO24" s="482">
        <f>Table1[[#This Row],[Net Sales (Units0]]/'Hypotesis Panel'!$G$8</f>
        <v>25.5</v>
      </c>
      <c r="BP24" s="426">
        <f>IFERROR(ROUND('Hypotesis Panel'!$G$8/Table1[[#This Row],[ST% Apparel]],0),"NoStock")</f>
        <v>19</v>
      </c>
      <c r="BQ24" s="515">
        <f>IFERROR(ROUND('Hypotesis Panel'!$G$8/Table1[[#This Row],[ST% ToTal]],0),"")</f>
        <v>22</v>
      </c>
      <c r="BR24" s="433">
        <f>Table1[[#This Row],[Expected WoOS Shoes]]-'Hypotesis Panel'!$G$8</f>
        <v>9</v>
      </c>
      <c r="BS24" s="420">
        <f>IFERROR(Table1[[#This Row],[Expected WoOS Apparel]]-'Hypotesis Panel'!$G$8,"")</f>
        <v>5</v>
      </c>
      <c r="BT24" s="435">
        <f>Table1[[#This Row],[Expected WoOS Total]]-'Hypotesis Panel'!$G$8</f>
        <v>8</v>
      </c>
      <c r="BU24" s="478">
        <f>Table1[[#This Row],[WOCoverage Shoes]]+'Hypotesis Panel'!$G$8-'Hypotesis Panel'!$F$3</f>
        <v>-3</v>
      </c>
      <c r="BV24" s="497" t="str">
        <f>_xlfn.XLOOKUP(Table1[[#This Row],[WOS at WK26 Shoes]],Table2[Lower Bound],Table2[Action],,-1)</f>
        <v>Stock Out Risk</v>
      </c>
      <c r="BW24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-49193.556363636366</v>
      </c>
      <c r="BX24" s="71">
        <f>Table1[[#This Row],[WOC Apparel]]+'Hypotesis Panel'!$G$8-'Hypotesis Panel'!$F$3</f>
        <v>-7</v>
      </c>
      <c r="BY24" s="479" t="str">
        <f>_xlfn.XLOOKUP(Table1[[#This Row],[WOS at WK26 Apparel]],Table2[Lower Bound],Table2[Action],,-1)</f>
        <v>Stock Out Risk</v>
      </c>
      <c r="CA24" s="285">
        <f>ROUND(Table1[[#This Row],[% Budget share]]*'Available Stock'!$H$6,0)</f>
        <v>2312</v>
      </c>
      <c r="CB24" s="475">
        <f>ROUND(Table1[[#This Row],[% Budget share]]*'Available Stock'!$I$6,0)</f>
        <v>1387</v>
      </c>
      <c r="CC24" s="482">
        <f>Table1[[#This Row],[Net Sales (Units0]]/'Hypotesis Panel'!$G$8</f>
        <v>25.5</v>
      </c>
      <c r="CD24" s="285">
        <f>ROUND(Table1[[#This Row],[% Budget share]]*'Available Stock'!$H$7,0)</f>
        <v>346</v>
      </c>
      <c r="CE24" s="475">
        <f>ROUND(Table1[[#This Row],[% Budget share]]*'Available Stock'!$I$7,0)</f>
        <v>97</v>
      </c>
      <c r="CF24" s="482" t="e">
        <f>Table1[[#This Row],[Shoes Available Q2 Stock Current Season ]]/#REF!</f>
        <v>#REF!</v>
      </c>
      <c r="CG24" s="285" t="e">
        <f>Table1[[#This Row],[Shoes Available Q2 Stock Old Season]]/#REF!</f>
        <v>#REF!</v>
      </c>
      <c r="CH24" s="285" t="e">
        <f>SUM(Table1[[#This Row],[Q2 Shoes New Stock WOC based on Q1 Sales Velocity]:[Q2 Shoes Old Stock WOC based on Q1 Sales Velocity]])</f>
        <v>#REF!</v>
      </c>
      <c r="CI24" s="285">
        <f>IFERROR(Table1[[#This Row],[Apparel Q2 Available Stock Current Season 2]]/Table1[[#This Row],[Avg Apparel Q1 Weekly Sales2]],"")</f>
        <v>13.568627450980392</v>
      </c>
      <c r="CJ24" s="285">
        <f>IFERROR(Table1[[#This Row],[Apparel Q2Available Stock Old Season3]]/Table1[[#This Row],[Avg Apparel Q1 Weekly Sales2]],"")</f>
        <v>3.8039215686274508</v>
      </c>
      <c r="CK24" s="475">
        <f>SUM(Table1[[#This Row],[Q2 Apparel New Stock WOC based on Q1 Sales Velocity]:[Q2 Apparel Old Stock WOC based on Q1 Sales Velocity]])</f>
        <v>17.372549019607842</v>
      </c>
    </row>
    <row r="25" spans="1:89">
      <c r="A25" s="131" t="s">
        <v>34</v>
      </c>
      <c r="B25" s="122" t="s">
        <v>43</v>
      </c>
      <c r="C25" s="127" t="s">
        <v>44</v>
      </c>
      <c r="D25" s="127" t="str">
        <f>_xlfn.CONCAT(Table1[[#This Row],[Sub Region]:[Account]])</f>
        <v>NorthNordicsNordic Nord</v>
      </c>
      <c r="E25" s="127" t="str">
        <f>_xlfn.IFNA(VLOOKUP(Table1[[#This Row],[Account]],'Account Information'!$A$4:$B$18,2,FALSE),"")</f>
        <v>Sport</v>
      </c>
      <c r="F25" s="128">
        <v>488567.68000000081</v>
      </c>
      <c r="G25" s="123">
        <v>8000</v>
      </c>
      <c r="H25" s="374">
        <f>Table1[[#This Row],[Units]]/$G$2</f>
        <v>3.2761374339653547E-3</v>
      </c>
      <c r="I25" s="142">
        <f t="shared" si="1"/>
        <v>61.070960000000099</v>
      </c>
      <c r="J25" s="406">
        <f>Table1[[#This Row],[Units]]*(1-'Hypotesis Panel'!$F$46)</f>
        <v>7342.6680244399195</v>
      </c>
      <c r="K25" s="406">
        <f>Table1[[#This Row],[Units]]-Table1[[#This Row],[Shoe Budget Units]]</f>
        <v>657.33197556008054</v>
      </c>
      <c r="L25" s="148">
        <v>197803.48000000033</v>
      </c>
      <c r="M25" s="123">
        <v>1700</v>
      </c>
      <c r="N25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3000</v>
      </c>
      <c r="O25" s="397">
        <f>Table1[[#This Row],[Net Sales (€)]]/Table1[[#This Row],[Net Sales Units]]</f>
        <v>65.93449333333345</v>
      </c>
      <c r="P25" s="125">
        <v>0</v>
      </c>
      <c r="Q25" s="365">
        <f>Table1[[#This Row],[Cancellations (units)]]/Table1[[#This Row],[Pre-Orders Invoiced (units)]]</f>
        <v>0</v>
      </c>
      <c r="R25" s="123">
        <v>1300</v>
      </c>
      <c r="S25" s="372">
        <f>Table1[[#This Row],[Re-Orders Invoiced (units)]]/Table1[[#This Row],[Pre-Orders Invoiced (units)]]</f>
        <v>0.76470588235294112</v>
      </c>
      <c r="T25" s="123">
        <v>0</v>
      </c>
      <c r="U25" s="370">
        <f>Table1[[#This Row],[Stock Clearance Invoiced (units)]]/Table1[[#This Row],[Pre-Orders Invoiced (units)]]</f>
        <v>0</v>
      </c>
      <c r="V25" s="123">
        <v>0</v>
      </c>
      <c r="W25" s="374">
        <f>Table1[[#This Row],[Returns Processed (units)]]/Table1[[#This Row],[Pre-Orders Invoiced (units)]]</f>
        <v>0</v>
      </c>
      <c r="X25" s="356">
        <v>11462.080000000025</v>
      </c>
      <c r="Y25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238.00000000000003</v>
      </c>
      <c r="Z25" s="143">
        <f>Table1[[#This Row],[Net Sales (€)2]]/Table1[[#This Row],[Net Sales (Units0]]</f>
        <v>48.160000000000103</v>
      </c>
      <c r="AA25" s="123">
        <v>238.00000000000003</v>
      </c>
      <c r="AB25" s="125">
        <v>0</v>
      </c>
      <c r="AC25" s="365">
        <f>IFERROR(Table1[[#This Row],[Cancellations (units)4]]/Table1[[#This Row],[Pre-Orders Invoiced (units)3]],0)</f>
        <v>0</v>
      </c>
      <c r="AD25" s="123">
        <v>0</v>
      </c>
      <c r="AE25" s="368">
        <f>IFERROR(Table1[[#This Row],[Re-Orders Invoiced (units)5]]/Table1[[#This Row],[Pre-Orders Invoiced (units)3]],0)</f>
        <v>0</v>
      </c>
      <c r="AF25" s="123">
        <v>0</v>
      </c>
      <c r="AG25" s="368">
        <f>IFERROR(Table1[[#This Row],[Stock Clearance Invoiced (units)6]]/Table1[[#This Row],[Pre-Orders Invoiced (units)3]],0)</f>
        <v>0</v>
      </c>
      <c r="AH25" s="123">
        <v>0</v>
      </c>
      <c r="AI25" s="381">
        <f>IFERROR(Table1[[#This Row],[Returns Processed (units)7]]/Table1[[#This Row],[Pre-Orders Invoiced (units)3]],0)</f>
        <v>0</v>
      </c>
      <c r="AJ25" s="393">
        <f>Table1[[#This Row],[Net Sales (€)2]]/Table1[[#This Row],[Net Sales (€)]]</f>
        <v>5.7946806598144815E-2</v>
      </c>
      <c r="AK25" s="412">
        <f>Table1[[#This Row],[Net Sales (Units0]]+Table1[[#This Row],[Net Sales Units]]</f>
        <v>3238</v>
      </c>
      <c r="AL25" s="505">
        <f>Table1[[#This Row],[Net Sales (€)2]]+Table1[[#This Row],[Net Sales (€)]]</f>
        <v>209265.56000000035</v>
      </c>
      <c r="AM25" s="356">
        <v>3300</v>
      </c>
      <c r="AN25" s="147">
        <v>50</v>
      </c>
      <c r="AO25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3000</v>
      </c>
      <c r="AP25" s="245">
        <f>Table1[[#This Row],[Net Sales (€)]]/AO25</f>
        <v>65.93449333333345</v>
      </c>
      <c r="AQ25" s="123">
        <f>AA25-+AB25+Table1[[#This Row],[Re-Orders Invoiced (units)5]]+AF25+AH25</f>
        <v>238.00000000000003</v>
      </c>
      <c r="AR25" s="123">
        <f>IFERROR(Table1[[#This Row],[Net Sales (€)2]]/AQ25,"")</f>
        <v>48.160000000000103</v>
      </c>
      <c r="AS25" s="62"/>
      <c r="AT25" s="91">
        <f t="shared" si="2"/>
        <v>209265.56000000035</v>
      </c>
      <c r="AU25" s="91">
        <f t="shared" si="3"/>
        <v>317568.99200000055</v>
      </c>
      <c r="AV25" s="92">
        <f t="shared" si="4"/>
        <v>-0.34103906467039458</v>
      </c>
      <c r="AW25" s="106">
        <f t="shared" si="5"/>
        <v>3.3140980309794535E-3</v>
      </c>
      <c r="AX25" s="155">
        <f t="shared" si="6"/>
        <v>-11</v>
      </c>
      <c r="AY25" s="118"/>
      <c r="AZ25" s="107">
        <f>AU25*(1-'SS24 Q2 Data'!$AB$5)</f>
        <v>291475.46038900258</v>
      </c>
      <c r="BA25" s="92">
        <f t="shared" si="7"/>
        <v>-0.32137175549525787</v>
      </c>
      <c r="BB25" s="106">
        <f t="shared" si="8"/>
        <v>3.3140980309794522E-3</v>
      </c>
      <c r="BC25" s="115">
        <f t="shared" si="9"/>
        <v>-10.65057502099244</v>
      </c>
      <c r="BD25" s="118"/>
      <c r="BE25" s="107">
        <f>AU25*'SS24 Q2 Data'!$AB$5</f>
        <v>26093.531610997976</v>
      </c>
      <c r="BF25" s="92">
        <f t="shared" si="10"/>
        <v>-0.56073098226500873</v>
      </c>
      <c r="BG25" s="106">
        <f t="shared" si="11"/>
        <v>3.3140980309794526E-3</v>
      </c>
      <c r="BH25" s="118">
        <f t="shared" si="12"/>
        <v>-18.5831744423364</v>
      </c>
      <c r="BI25" s="118"/>
      <c r="BJ25" s="417">
        <f>Table1[[#This Row],[Net Sales Units]]/Table1[[#This Row],[Shoe Budget Units]]</f>
        <v>0.40857083420012474</v>
      </c>
      <c r="BK25" s="256">
        <f>Table1[[#This Row],[Net Sales (Units0]]/Table1[[#This Row],[Apparel Budget Units]]</f>
        <v>0.36206971340046529</v>
      </c>
      <c r="BL25" s="284">
        <f>Table1[[#This Row],[Net Sales Units total]]/Table1[[#This Row],[Units]]</f>
        <v>0.40475</v>
      </c>
      <c r="BM25" s="493">
        <f>ROUND(Table1[[#This Row],[Net Sales Units]]/'Hypotesis Panel'!$G$8,0)</f>
        <v>214</v>
      </c>
      <c r="BN25" s="426">
        <f>ROUND('Hypotesis Panel'!$G$8/Table1[[#This Row],[ST% Shoes]],0)</f>
        <v>34</v>
      </c>
      <c r="BO25" s="482">
        <f>Table1[[#This Row],[Net Sales (Units0]]/'Hypotesis Panel'!$G$8</f>
        <v>17.000000000000004</v>
      </c>
      <c r="BP25" s="426">
        <f>IFERROR(ROUND('Hypotesis Panel'!$G$8/Table1[[#This Row],[ST% Apparel]],0),"NoStock")</f>
        <v>39</v>
      </c>
      <c r="BQ25" s="515">
        <f>IFERROR(ROUND('Hypotesis Panel'!$G$8/Table1[[#This Row],[ST% ToTal]],0),"")</f>
        <v>35</v>
      </c>
      <c r="BR25" s="433">
        <f>Table1[[#This Row],[Expected WoOS Shoes]]-'Hypotesis Panel'!$G$8</f>
        <v>20</v>
      </c>
      <c r="BS25" s="420">
        <f>IFERROR(Table1[[#This Row],[Expected WoOS Apparel]]-'Hypotesis Panel'!$G$8,"")</f>
        <v>25</v>
      </c>
      <c r="BT25" s="435">
        <f>Table1[[#This Row],[Expected WoOS Total]]-'Hypotesis Panel'!$G$8</f>
        <v>21</v>
      </c>
      <c r="BU25" s="478">
        <f>Table1[[#This Row],[WOCoverage Shoes]]+'Hypotesis Panel'!$G$8-'Hypotesis Panel'!$F$3</f>
        <v>8</v>
      </c>
      <c r="BV25" s="497" t="str">
        <f>_xlfn.XLOOKUP(Table1[[#This Row],[WOS at WK26 Shoes]],Table2[Lower Bound],Table2[Action],,-1)</f>
        <v>Overstock</v>
      </c>
      <c r="BW25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25" s="71">
        <f>Table1[[#This Row],[WOC Apparel]]+'Hypotesis Panel'!$G$8-'Hypotesis Panel'!$F$3</f>
        <v>13</v>
      </c>
      <c r="BY25" s="479" t="str">
        <f>_xlfn.XLOOKUP(Table1[[#This Row],[WOS at WK26 Apparel]],Table2[Lower Bound],Table2[Action],,-1)</f>
        <v>Overstock</v>
      </c>
      <c r="CA25" s="285">
        <f>ROUND(Table1[[#This Row],[% Budget share]]*'Available Stock'!$H$6,0)</f>
        <v>3189</v>
      </c>
      <c r="CB25" s="475">
        <f>ROUND(Table1[[#This Row],[% Budget share]]*'Available Stock'!$I$6,0)</f>
        <v>1913</v>
      </c>
      <c r="CC25" s="482">
        <f>Table1[[#This Row],[Net Sales (Units0]]/'Hypotesis Panel'!$G$8</f>
        <v>17.000000000000004</v>
      </c>
      <c r="CD25" s="285">
        <f>ROUND(Table1[[#This Row],[% Budget share]]*'Available Stock'!$H$7,0)</f>
        <v>477</v>
      </c>
      <c r="CE25" s="475">
        <f>ROUND(Table1[[#This Row],[% Budget share]]*'Available Stock'!$I$7,0)</f>
        <v>134</v>
      </c>
      <c r="CF25" s="482" t="e">
        <f>Table1[[#This Row],[Shoes Available Q2 Stock Current Season ]]/#REF!</f>
        <v>#REF!</v>
      </c>
      <c r="CG25" s="285" t="e">
        <f>Table1[[#This Row],[Shoes Available Q2 Stock Old Season]]/#REF!</f>
        <v>#REF!</v>
      </c>
      <c r="CH25" s="285" t="e">
        <f>SUM(Table1[[#This Row],[Q2 Shoes New Stock WOC based on Q1 Sales Velocity]:[Q2 Shoes Old Stock WOC based on Q1 Sales Velocity]])</f>
        <v>#REF!</v>
      </c>
      <c r="CI25" s="285">
        <f>IFERROR(Table1[[#This Row],[Apparel Q2 Available Stock Current Season 2]]/Table1[[#This Row],[Avg Apparel Q1 Weekly Sales2]],"")</f>
        <v>28.058823529411757</v>
      </c>
      <c r="CJ25" s="285">
        <f>IFERROR(Table1[[#This Row],[Apparel Q2Available Stock Old Season3]]/Table1[[#This Row],[Avg Apparel Q1 Weekly Sales2]],"")</f>
        <v>7.8823529411764692</v>
      </c>
      <c r="CK25" s="475">
        <f>SUM(Table1[[#This Row],[Q2 Apparel New Stock WOC based on Q1 Sales Velocity]:[Q2 Apparel Old Stock WOC based on Q1 Sales Velocity]])</f>
        <v>35.941176470588225</v>
      </c>
    </row>
    <row r="26" spans="1:89">
      <c r="A26" s="131" t="s">
        <v>34</v>
      </c>
      <c r="B26" s="122" t="s">
        <v>43</v>
      </c>
      <c r="C26" s="127" t="s">
        <v>45</v>
      </c>
      <c r="D26" s="127" t="str">
        <f>_xlfn.CONCAT(Table1[[#This Row],[Sub Region]:[Account]])</f>
        <v>NorthNordicsOmni-Arena</v>
      </c>
      <c r="E26" s="127" t="str">
        <f>_xlfn.IFNA(VLOOKUP(Table1[[#This Row],[Account]],'Account Information'!$A$4:$B$18,2,FALSE),"")</f>
        <v>Sport</v>
      </c>
      <c r="F26" s="128">
        <v>469314.43200000067</v>
      </c>
      <c r="G26" s="123">
        <v>7200</v>
      </c>
      <c r="H26" s="374">
        <f>Table1[[#This Row],[Units]]/$G$2</f>
        <v>2.9485236905688193E-3</v>
      </c>
      <c r="I26" s="142">
        <f t="shared" si="1"/>
        <v>65.182560000000095</v>
      </c>
      <c r="J26" s="406">
        <f>Table1[[#This Row],[Units]]*(1-'Hypotesis Panel'!$F$46)</f>
        <v>6608.4012219959277</v>
      </c>
      <c r="K26" s="406">
        <f>Table1[[#This Row],[Units]]-Table1[[#This Row],[Shoe Budget Units]]</f>
        <v>591.5987780040723</v>
      </c>
      <c r="L26" s="148">
        <v>160204.7500000002</v>
      </c>
      <c r="M26" s="123">
        <v>2300</v>
      </c>
      <c r="N26" s="123">
        <f>Table1[[#This Row],[Pre-Orders Invoiced (units)]]-Table1[[#This Row],[Cancellations (units)]]+Table1[[#This Row],[Re-Orders Invoiced (units)]]+Table1[[#This Row],[Stock Clearance Invoiced (units)]]+Table1[[#This Row],[Returns Processed (units)]]</f>
        <v>1600</v>
      </c>
      <c r="O26" s="397">
        <f>Table1[[#This Row],[Net Sales (€)]]/Table1[[#This Row],[Net Sales Units]]</f>
        <v>100.12796875000012</v>
      </c>
      <c r="P26" s="125">
        <v>800</v>
      </c>
      <c r="Q26" s="366">
        <f>Table1[[#This Row],[Cancellations (units)]]/Table1[[#This Row],[Pre-Orders Invoiced (units)]]</f>
        <v>0.34782608695652173</v>
      </c>
      <c r="R26" s="123">
        <v>100</v>
      </c>
      <c r="S26" s="370">
        <f>Table1[[#This Row],[Re-Orders Invoiced (units)]]/Table1[[#This Row],[Pre-Orders Invoiced (units)]]</f>
        <v>4.3478260869565216E-2</v>
      </c>
      <c r="T26" s="123">
        <v>0</v>
      </c>
      <c r="U26" s="370">
        <f>Table1[[#This Row],[Stock Clearance Invoiced (units)]]/Table1[[#This Row],[Pre-Orders Invoiced (units)]]</f>
        <v>0</v>
      </c>
      <c r="V26" s="123">
        <v>0</v>
      </c>
      <c r="W26" s="374">
        <f>Table1[[#This Row],[Returns Processed (units)]]/Table1[[#This Row],[Pre-Orders Invoiced (units)]]</f>
        <v>0</v>
      </c>
      <c r="X26" s="356">
        <v>10672.71300000002</v>
      </c>
      <c r="Y26" s="143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135</v>
      </c>
      <c r="Z26" s="143">
        <f>Table1[[#This Row],[Net Sales (€)2]]/Table1[[#This Row],[Net Sales (Units0]]</f>
        <v>79.057133333333482</v>
      </c>
      <c r="AA26" s="123">
        <v>207</v>
      </c>
      <c r="AB26" s="125">
        <v>72</v>
      </c>
      <c r="AC26" s="366">
        <f>IFERROR(Table1[[#This Row],[Cancellations (units)4]]/Table1[[#This Row],[Pre-Orders Invoiced (units)3]],0)</f>
        <v>0.34782608695652173</v>
      </c>
      <c r="AD26" s="123">
        <v>0</v>
      </c>
      <c r="AE26" s="368">
        <f>IFERROR(Table1[[#This Row],[Re-Orders Invoiced (units)5]]/Table1[[#This Row],[Pre-Orders Invoiced (units)3]],0)</f>
        <v>0</v>
      </c>
      <c r="AF26" s="123">
        <v>0</v>
      </c>
      <c r="AG26" s="368">
        <f>IFERROR(Table1[[#This Row],[Stock Clearance Invoiced (units)6]]/Table1[[#This Row],[Pre-Orders Invoiced (units)3]],0)</f>
        <v>0</v>
      </c>
      <c r="AH26" s="123">
        <v>0</v>
      </c>
      <c r="AI26" s="381">
        <f>IFERROR(Table1[[#This Row],[Returns Processed (units)7]]/Table1[[#This Row],[Pre-Orders Invoiced (units)3]],0)</f>
        <v>0</v>
      </c>
      <c r="AJ26" s="393">
        <f>Table1[[#This Row],[Net Sales (€)2]]/Table1[[#This Row],[Net Sales (€)]]</f>
        <v>6.6619204486758385E-2</v>
      </c>
      <c r="AK26" s="412">
        <f>Table1[[#This Row],[Net Sales (Units0]]+Table1[[#This Row],[Net Sales Units]]</f>
        <v>1735</v>
      </c>
      <c r="AL26" s="505">
        <f>Table1[[#This Row],[Net Sales (€)2]]+Table1[[#This Row],[Net Sales (€)]]</f>
        <v>170877.46300000022</v>
      </c>
      <c r="AM26" s="356">
        <v>1900</v>
      </c>
      <c r="AN26" s="147">
        <v>75</v>
      </c>
      <c r="AO26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1600</v>
      </c>
      <c r="AP26" s="245">
        <f>Table1[[#This Row],[Net Sales (€)]]/AO26</f>
        <v>100.12796875000012</v>
      </c>
      <c r="AQ26" s="123">
        <f>AA26-+AB26+Table1[[#This Row],[Re-Orders Invoiced (units)5]]+AF26+AH26</f>
        <v>135</v>
      </c>
      <c r="AR26" s="123">
        <f>IFERROR(Table1[[#This Row],[Net Sales (€)2]]/AQ26,"")</f>
        <v>79.057133333333482</v>
      </c>
      <c r="AS26" s="62"/>
      <c r="AT26" s="91">
        <f t="shared" si="2"/>
        <v>170877.46300000022</v>
      </c>
      <c r="AU26" s="91">
        <f t="shared" si="3"/>
        <v>305054.38080000045</v>
      </c>
      <c r="AV26" s="92">
        <f t="shared" si="4"/>
        <v>-0.43984589714175981</v>
      </c>
      <c r="AW26" s="106">
        <f t="shared" si="5"/>
        <v>3.1834975964874306E-3</v>
      </c>
      <c r="AX26" s="155">
        <f t="shared" si="6"/>
        <v>-14</v>
      </c>
      <c r="AY26" s="118"/>
      <c r="AZ26" s="107">
        <f>AU26*(1-'SS24 Q2 Data'!$AB$5)</f>
        <v>279989.13095193525</v>
      </c>
      <c r="BA26" s="92">
        <f t="shared" si="7"/>
        <v>-0.42781796759281354</v>
      </c>
      <c r="BB26" s="106">
        <f t="shared" si="8"/>
        <v>3.1834975964874297E-3</v>
      </c>
      <c r="BC26" s="115">
        <f t="shared" si="9"/>
        <v>-13.61957471565859</v>
      </c>
      <c r="BD26" s="118"/>
      <c r="BE26" s="107">
        <f>AU26*'SS24 Q2 Data'!$AB$5</f>
        <v>25065.249848065178</v>
      </c>
      <c r="BF26" s="92">
        <f t="shared" si="10"/>
        <v>-0.57420280808316537</v>
      </c>
      <c r="BG26" s="106">
        <f t="shared" si="11"/>
        <v>3.1834975964874297E-3</v>
      </c>
      <c r="BH26" s="118">
        <f t="shared" si="12"/>
        <v>-18.279732594290898</v>
      </c>
      <c r="BI26" s="118"/>
      <c r="BJ26" s="417">
        <f>Table1[[#This Row],[Net Sales Units]]/Table1[[#This Row],[Shoe Budget Units]]</f>
        <v>0.24211604989637023</v>
      </c>
      <c r="BK26" s="256">
        <f>Table1[[#This Row],[Net Sales (Units0]]/Table1[[#This Row],[Apparel Budget Units]]</f>
        <v>0.22819519752130171</v>
      </c>
      <c r="BL26" s="284">
        <f>Table1[[#This Row],[Net Sales Units total]]/Table1[[#This Row],[Units]]</f>
        <v>0.24097222222222223</v>
      </c>
      <c r="BM26" s="493">
        <f>ROUND(Table1[[#This Row],[Net Sales Units]]/'Hypotesis Panel'!$G$8,0)</f>
        <v>114</v>
      </c>
      <c r="BN26" s="426">
        <f>ROUND('Hypotesis Panel'!$G$8/Table1[[#This Row],[ST% Shoes]],0)</f>
        <v>58</v>
      </c>
      <c r="BO26" s="482">
        <f>Table1[[#This Row],[Net Sales (Units0]]/'Hypotesis Panel'!$G$8</f>
        <v>9.6428571428571423</v>
      </c>
      <c r="BP26" s="426">
        <f>IFERROR(ROUND('Hypotesis Panel'!$G$8/Table1[[#This Row],[ST% Apparel]],0),"NoStock")</f>
        <v>61</v>
      </c>
      <c r="BQ26" s="515">
        <f>IFERROR(ROUND('Hypotesis Panel'!$G$8/Table1[[#This Row],[ST% ToTal]],0),"")</f>
        <v>58</v>
      </c>
      <c r="BR26" s="433">
        <f>Table1[[#This Row],[Expected WoOS Shoes]]-'Hypotesis Panel'!$G$8</f>
        <v>44</v>
      </c>
      <c r="BS26" s="420">
        <f>IFERROR(Table1[[#This Row],[Expected WoOS Apparel]]-'Hypotesis Panel'!$G$8,"")</f>
        <v>47</v>
      </c>
      <c r="BT26" s="435">
        <f>Table1[[#This Row],[Expected WoOS Total]]-'Hypotesis Panel'!$G$8</f>
        <v>44</v>
      </c>
      <c r="BU26" s="478">
        <f>Table1[[#This Row],[WOCoverage Shoes]]+'Hypotesis Panel'!$G$8-'Hypotesis Panel'!$F$3</f>
        <v>32</v>
      </c>
      <c r="BV26" s="497" t="str">
        <f>_xlfn.XLOOKUP(Table1[[#This Row],[WOS at WK26 Shoes]],Table2[Lower Bound],Table2[Action],,-1)</f>
        <v>Overstock</v>
      </c>
      <c r="BW26" s="519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26" s="71">
        <f>Table1[[#This Row],[WOC Apparel]]+'Hypotesis Panel'!$G$8-'Hypotesis Panel'!$F$3</f>
        <v>35</v>
      </c>
      <c r="BY26" s="479" t="str">
        <f>_xlfn.XLOOKUP(Table1[[#This Row],[WOS at WK26 Apparel]],Table2[Lower Bound],Table2[Action],,-1)</f>
        <v>Overstock</v>
      </c>
      <c r="CA26" s="285">
        <f>ROUND(Table1[[#This Row],[% Budget share]]*'Available Stock'!$H$6,0)</f>
        <v>2870</v>
      </c>
      <c r="CB26" s="475">
        <f>ROUND(Table1[[#This Row],[% Budget share]]*'Available Stock'!$I$6,0)</f>
        <v>1722</v>
      </c>
      <c r="CC26" s="482">
        <f>Table1[[#This Row],[Net Sales (Units0]]/'Hypotesis Panel'!$G$8</f>
        <v>9.6428571428571423</v>
      </c>
      <c r="CD26" s="285">
        <f>ROUND(Table1[[#This Row],[% Budget share]]*'Available Stock'!$H$7,0)</f>
        <v>429</v>
      </c>
      <c r="CE26" s="475">
        <f>ROUND(Table1[[#This Row],[% Budget share]]*'Available Stock'!$I$7,0)</f>
        <v>120</v>
      </c>
      <c r="CF26" s="482" t="e">
        <f>Table1[[#This Row],[Shoes Available Q2 Stock Current Season ]]/#REF!</f>
        <v>#REF!</v>
      </c>
      <c r="CG26" s="285" t="e">
        <f>Table1[[#This Row],[Shoes Available Q2 Stock Old Season]]/#REF!</f>
        <v>#REF!</v>
      </c>
      <c r="CH26" s="285" t="e">
        <f>SUM(Table1[[#This Row],[Q2 Shoes New Stock WOC based on Q1 Sales Velocity]:[Q2 Shoes Old Stock WOC based on Q1 Sales Velocity]])</f>
        <v>#REF!</v>
      </c>
      <c r="CI26" s="285">
        <f>IFERROR(Table1[[#This Row],[Apparel Q2 Available Stock Current Season 2]]/Table1[[#This Row],[Avg Apparel Q1 Weekly Sales2]],"")</f>
        <v>44.488888888888894</v>
      </c>
      <c r="CJ26" s="285">
        <f>IFERROR(Table1[[#This Row],[Apparel Q2Available Stock Old Season3]]/Table1[[#This Row],[Avg Apparel Q1 Weekly Sales2]],"")</f>
        <v>12.444444444444445</v>
      </c>
      <c r="CK26" s="475">
        <f>SUM(Table1[[#This Row],[Q2 Apparel New Stock WOC based on Q1 Sales Velocity]:[Q2 Apparel Old Stock WOC based on Q1 Sales Velocity]])</f>
        <v>56.933333333333337</v>
      </c>
    </row>
    <row r="27" spans="1:89" ht="13.8" thickBot="1">
      <c r="A27" s="131" t="s">
        <v>46</v>
      </c>
      <c r="B27" s="126" t="s">
        <v>47</v>
      </c>
      <c r="C27" s="127" t="s">
        <v>48</v>
      </c>
      <c r="D27" s="127" t="str">
        <f>_xlfn.CONCAT(Table1[[#This Row],[Sub Region]:[Account]])</f>
        <v>SouthSpainAgora Athletics</v>
      </c>
      <c r="E27" s="127" t="str">
        <f>_xlfn.IFNA(VLOOKUP(Table1[[#This Row],[Account]],'Account Information'!$A$4:$B$18,2,FALSE),"")</f>
        <v>Sport</v>
      </c>
      <c r="F27" s="128">
        <v>115984.40000000001</v>
      </c>
      <c r="G27" s="123">
        <v>2000</v>
      </c>
      <c r="H27" s="368">
        <f>Table1[[#This Row],[Units]]/$G$2</f>
        <v>8.1903435849133867E-4</v>
      </c>
      <c r="I27" s="408">
        <f t="shared" si="1"/>
        <v>57.992200000000004</v>
      </c>
      <c r="J27" s="409">
        <f>Table1[[#This Row],[Units]]*(1-'Hypotesis Panel'!$F$46)</f>
        <v>1835.6670061099799</v>
      </c>
      <c r="K27" s="409">
        <f>Table1[[#This Row],[Units]]-Table1[[#This Row],[Shoe Budget Units]]</f>
        <v>164.33299389002013</v>
      </c>
      <c r="L27" s="407">
        <v>59430</v>
      </c>
      <c r="M27" s="149">
        <v>1000</v>
      </c>
      <c r="N27" s="149">
        <f>Table1[[#This Row],[Pre-Orders Invoiced (units)]]-Table1[[#This Row],[Cancellations (units)]]+Table1[[#This Row],[Re-Orders Invoiced (units)]]+Table1[[#This Row],[Stock Clearance Invoiced (units)]]+Table1[[#This Row],[Returns Processed (units)]]</f>
        <v>1000</v>
      </c>
      <c r="O27" s="398">
        <f>Table1[[#This Row],[Net Sales (€)]]/Table1[[#This Row],[Net Sales Units]]</f>
        <v>59.43</v>
      </c>
      <c r="P27" s="150">
        <v>0</v>
      </c>
      <c r="Q27" s="367">
        <f>Table1[[#This Row],[Cancellations (units)]]/Table1[[#This Row],[Pre-Orders Invoiced (units)]]</f>
        <v>0</v>
      </c>
      <c r="R27" s="149">
        <v>0</v>
      </c>
      <c r="S27" s="371">
        <f>Table1[[#This Row],[Re-Orders Invoiced (units)]]/Table1[[#This Row],[Pre-Orders Invoiced (units)]]</f>
        <v>0</v>
      </c>
      <c r="T27" s="149">
        <v>0</v>
      </c>
      <c r="U27" s="371">
        <f>Table1[[#This Row],[Stock Clearance Invoiced (units)]]/Table1[[#This Row],[Pre-Orders Invoiced (units)]]</f>
        <v>0</v>
      </c>
      <c r="V27" s="149">
        <v>0</v>
      </c>
      <c r="W27" s="375">
        <f>Table1[[#This Row],[Returns Processed (units)]]/Table1[[#This Row],[Pre-Orders Invoiced (units)]]</f>
        <v>0</v>
      </c>
      <c r="X27" s="357">
        <v>5722.64</v>
      </c>
      <c r="Y27" s="152">
        <f>Table1[[#This Row],[Pre-Orders Invoiced (units)3]]-Table1[[#This Row],[Cancellations (units)4]]+Table1[[#This Row],[Re-Orders Invoiced (units)5]]+Table1[[#This Row],[Stock Clearance Invoiced (units)6]]+Table1[[#This Row],[Returns Processed (units)7]]</f>
        <v>122</v>
      </c>
      <c r="Z27" s="152">
        <f>Table1[[#This Row],[Net Sales (€)2]]/Table1[[#This Row],[Net Sales (Units0]]</f>
        <v>46.906885245901641</v>
      </c>
      <c r="AA27" s="149">
        <v>110</v>
      </c>
      <c r="AB27" s="150">
        <v>0</v>
      </c>
      <c r="AC27" s="367">
        <f>IFERROR(Table1[[#This Row],[Cancellations (units)4]]/Table1[[#This Row],[Pre-Orders Invoiced (units)3]],0)</f>
        <v>0</v>
      </c>
      <c r="AD27" s="149">
        <v>12</v>
      </c>
      <c r="AE27" s="404">
        <f>IFERROR(Table1[[#This Row],[Re-Orders Invoiced (units)5]]/Table1[[#This Row],[Pre-Orders Invoiced (units)3]],0)</f>
        <v>0.10909090909090909</v>
      </c>
      <c r="AF27" s="149">
        <v>0</v>
      </c>
      <c r="AG27" s="369">
        <f>IFERROR(Table1[[#This Row],[Stock Clearance Invoiced (units)6]]/Table1[[#This Row],[Pre-Orders Invoiced (units)3]],0)</f>
        <v>0</v>
      </c>
      <c r="AH27" s="149">
        <v>0</v>
      </c>
      <c r="AI27" s="382">
        <f>IFERROR(Table1[[#This Row],[Returns Processed (units)7]]/Table1[[#This Row],[Pre-Orders Invoiced (units)3]],0)</f>
        <v>0</v>
      </c>
      <c r="AJ27" s="394">
        <f>Table1[[#This Row],[Net Sales (€)2]]/Table1[[#This Row],[Net Sales (€)]]</f>
        <v>9.6292108362779752E-2</v>
      </c>
      <c r="AK27" s="413">
        <f>Table1[[#This Row],[Net Sales (Units0]]+Table1[[#This Row],[Net Sales Units]]</f>
        <v>1122</v>
      </c>
      <c r="AL27" s="506">
        <f>Table1[[#This Row],[Net Sales (€)2]]+Table1[[#This Row],[Net Sales (€)]]</f>
        <v>65152.639999999999</v>
      </c>
      <c r="AM27" s="357">
        <v>900</v>
      </c>
      <c r="AN27" s="151">
        <v>0</v>
      </c>
      <c r="AO27" s="143">
        <f>Table1[[#This Row],[Pre-Orders Invoiced (units)]]-Table1[[#This Row],[Cancellations (units)]]+Table1[[#This Row],[Re-Orders Invoiced (units)]]+Table1[[#This Row],[Stock Clearance Invoiced (units)]]+Table1[[#This Row],[Returns Processed (units)]]</f>
        <v>1000</v>
      </c>
      <c r="AP27" s="245">
        <f>Table1[[#This Row],[Net Sales (€)]]/AO27</f>
        <v>59.43</v>
      </c>
      <c r="AQ27" s="123">
        <f>AA27-+AB27+Table1[[#This Row],[Re-Orders Invoiced (units)5]]+AF27+AH27</f>
        <v>122</v>
      </c>
      <c r="AR27" s="123">
        <f>IFERROR(Table1[[#This Row],[Net Sales (€)2]]/AQ27,"")</f>
        <v>46.906885245901641</v>
      </c>
      <c r="AS27" s="62"/>
      <c r="AT27" s="93">
        <f t="shared" si="2"/>
        <v>65152.639999999999</v>
      </c>
      <c r="AU27" s="93">
        <f t="shared" si="3"/>
        <v>75389.860000000015</v>
      </c>
      <c r="AV27" s="94">
        <f t="shared" si="4"/>
        <v>-0.13579041001004666</v>
      </c>
      <c r="AW27" s="116">
        <f t="shared" si="5"/>
        <v>7.8675624155968057E-4</v>
      </c>
      <c r="AX27" s="156">
        <f t="shared" si="6"/>
        <v>-1</v>
      </c>
      <c r="AY27" s="119"/>
      <c r="AZ27" s="108">
        <f>AU27*(1-'SS24 Q2 Data'!$AB$5)</f>
        <v>69195.339298625273</v>
      </c>
      <c r="BA27" s="94">
        <f t="shared" si="7"/>
        <v>-0.14112712500015567</v>
      </c>
      <c r="BB27" s="116">
        <f t="shared" si="8"/>
        <v>7.8675624155968035E-4</v>
      </c>
      <c r="BC27" s="117">
        <f t="shared" si="9"/>
        <v>-1.1103264644724569</v>
      </c>
      <c r="BD27" s="119"/>
      <c r="BE27" s="108">
        <f>AU27*'SS24 Q2 Data'!$AB$5</f>
        <v>6194.5207013747386</v>
      </c>
      <c r="BF27" s="94">
        <f t="shared" si="10"/>
        <v>-7.617711266507099E-2</v>
      </c>
      <c r="BG27" s="116">
        <f t="shared" si="11"/>
        <v>7.8675624155968035E-4</v>
      </c>
      <c r="BH27" s="119">
        <f t="shared" si="12"/>
        <v>-0.59932818853239578</v>
      </c>
      <c r="BI27" s="118"/>
      <c r="BJ27" s="418">
        <f>Table1[[#This Row],[Net Sales Units]]/Table1[[#This Row],[Shoe Budget Units]]</f>
        <v>0.54476111226683299</v>
      </c>
      <c r="BK27" s="419">
        <f>Table1[[#This Row],[Net Sales (Units0]]/Table1[[#This Row],[Apparel Budget Units]]</f>
        <v>0.74239504260263467</v>
      </c>
      <c r="BL27" s="512">
        <f>Table1[[#This Row],[Net Sales Units total]]/Table1[[#This Row],[Units]]</f>
        <v>0.56100000000000005</v>
      </c>
      <c r="BM27" s="494">
        <f>ROUND(Table1[[#This Row],[Net Sales Units]]/'Hypotesis Panel'!$G$8,0)</f>
        <v>71</v>
      </c>
      <c r="BN27" s="427">
        <f>ROUND('Hypotesis Panel'!$G$8/Table1[[#This Row],[ST% Shoes]],0)</f>
        <v>26</v>
      </c>
      <c r="BO27" s="483">
        <f>Table1[[#This Row],[Net Sales (Units0]]/'Hypotesis Panel'!$G$8</f>
        <v>8.7142857142857135</v>
      </c>
      <c r="BP27" s="427">
        <f>IFERROR(ROUND('Hypotesis Panel'!$G$8/Table1[[#This Row],[ST% Apparel]],0),"NoStock")</f>
        <v>19</v>
      </c>
      <c r="BQ27" s="516">
        <f>IFERROR(ROUND('Hypotesis Panel'!$G$8/Table1[[#This Row],[ST% ToTal]],0),"")</f>
        <v>25</v>
      </c>
      <c r="BR27" s="434">
        <f>Table1[[#This Row],[Expected WoOS Shoes]]-'Hypotesis Panel'!$G$8</f>
        <v>12</v>
      </c>
      <c r="BS27" s="431">
        <f>IFERROR(Table1[[#This Row],[Expected WoOS Apparel]]-'Hypotesis Panel'!$G$8,"")</f>
        <v>5</v>
      </c>
      <c r="BT27" s="436">
        <f>Table1[[#This Row],[Expected WoOS Total]]-'Hypotesis Panel'!$G$8</f>
        <v>11</v>
      </c>
      <c r="BU27" s="480">
        <f>Table1[[#This Row],[WOCoverage Shoes]]+'Hypotesis Panel'!$G$8-'Hypotesis Panel'!$F$3</f>
        <v>0</v>
      </c>
      <c r="BV27" s="498" t="str">
        <f>_xlfn.XLOOKUP(Table1[[#This Row],[WOS at WK26 Shoes]],Table2[Lower Bound],Table2[Action],,-1)</f>
        <v>Monitor</v>
      </c>
      <c r="BW27" s="520">
        <f>IF(Table1[[#This Row],[WOS at WK26 Shoes]]*Table1[[#This Row],[Avg Shoes Q1 Weekly Sales]]*Table1[[#This Row],[Actual ASP Shoes per channel]]&gt;0,0,Table1[[#This Row],[WOS at WK26 Shoes]]*Table1[[#This Row],[Avg Shoes Q1 Weekly Sales]]*Table1[[#This Row],[Actual ASP Shoes per channel]])</f>
        <v>0</v>
      </c>
      <c r="BX27" s="501">
        <f>Table1[[#This Row],[WOC Apparel]]+'Hypotesis Panel'!$G$8-'Hypotesis Panel'!$F$3</f>
        <v>-7</v>
      </c>
      <c r="BY27" s="481" t="str">
        <f>_xlfn.XLOOKUP(Table1[[#This Row],[WOS at WK26 Apparel]],Table2[Lower Bound],Table2[Action],,-1)</f>
        <v>Stock Out Risk</v>
      </c>
      <c r="CA27" s="484">
        <f>ROUND(Table1[[#This Row],[% Budget share]]*'Available Stock'!$H$6,0)</f>
        <v>797</v>
      </c>
      <c r="CB27" s="485">
        <f>ROUND(Table1[[#This Row],[% Budget share]]*'Available Stock'!$I$6,0)</f>
        <v>478</v>
      </c>
      <c r="CC27" s="483">
        <f>Table1[[#This Row],[Net Sales (Units0]]/'Hypotesis Panel'!$G$8</f>
        <v>8.7142857142857135</v>
      </c>
      <c r="CD27" s="484">
        <f>ROUND(Table1[[#This Row],[% Budget share]]*'Available Stock'!$H$7,0)</f>
        <v>119</v>
      </c>
      <c r="CE27" s="485">
        <f>ROUND(Table1[[#This Row],[% Budget share]]*'Available Stock'!$I$7,0)</f>
        <v>33</v>
      </c>
      <c r="CF27" s="483" t="e">
        <f>Table1[[#This Row],[Shoes Available Q2 Stock Current Season ]]/#REF!</f>
        <v>#REF!</v>
      </c>
      <c r="CG27" s="484" t="e">
        <f>Table1[[#This Row],[Shoes Available Q2 Stock Old Season]]/#REF!</f>
        <v>#REF!</v>
      </c>
      <c r="CH27" s="484" t="e">
        <f>SUM(Table1[[#This Row],[Q2 Shoes New Stock WOC based on Q1 Sales Velocity]:[Q2 Shoes Old Stock WOC based on Q1 Sales Velocity]])</f>
        <v>#REF!</v>
      </c>
      <c r="CI27" s="484">
        <f>IFERROR(Table1[[#This Row],[Apparel Q2 Available Stock Current Season 2]]/Table1[[#This Row],[Avg Apparel Q1 Weekly Sales2]],"")</f>
        <v>13.655737704918034</v>
      </c>
      <c r="CJ27" s="484">
        <f>IFERROR(Table1[[#This Row],[Apparel Q2Available Stock Old Season3]]/Table1[[#This Row],[Avg Apparel Q1 Weekly Sales2]],"")</f>
        <v>3.7868852459016398</v>
      </c>
      <c r="CK27" s="485">
        <f>SUM(Table1[[#This Row],[Q2 Apparel New Stock WOC based on Q1 Sales Velocity]:[Q2 Apparel Old Stock WOC based on Q1 Sales Velocity]])</f>
        <v>17.442622950819672</v>
      </c>
    </row>
    <row r="28" spans="1:89">
      <c r="BM28" s="474"/>
    </row>
  </sheetData>
  <mergeCells count="7">
    <mergeCell ref="F3:K3"/>
    <mergeCell ref="BU3:BY3"/>
    <mergeCell ref="AJ3:AL3"/>
    <mergeCell ref="AO1:AQ1"/>
    <mergeCell ref="AO3:AR3"/>
    <mergeCell ref="L3:W3"/>
    <mergeCell ref="X3:AI3"/>
  </mergeCells>
  <phoneticPr fontId="38" type="noConversion"/>
  <conditionalFormatting sqref="AJ5:AJ27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V5:AV2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X9:AY27 AX5:AX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:BA27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9:BD27 BC5:BC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5:BF27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H5:BI2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5:BQ6 BN5:BN27 BQ7 BP8:BQ27">
    <cfRule type="cellIs" dxfId="6" priority="16" operator="greaterThan">
      <formula>26</formula>
    </cfRule>
  </conditionalFormatting>
  <conditionalFormatting sqref="BV5:BW27">
    <cfRule type="cellIs" dxfId="5" priority="13" operator="equal">
      <formula>"Monitor"</formula>
    </cfRule>
    <cfRule type="cellIs" dxfId="4" priority="14" operator="equal">
      <formula>"Overstock"</formula>
    </cfRule>
    <cfRule type="cellIs" dxfId="3" priority="15" operator="equal">
      <formula>"Stock Out Risk"</formula>
    </cfRule>
  </conditionalFormatting>
  <conditionalFormatting sqref="BY5:BY27">
    <cfRule type="cellIs" dxfId="2" priority="7" operator="equal">
      <formula>"Monitor"</formula>
    </cfRule>
    <cfRule type="cellIs" dxfId="1" priority="8" operator="equal">
      <formula>"Overstock"</formula>
    </cfRule>
    <cfRule type="cellIs" dxfId="0" priority="9" operator="equal">
      <formula>"Stock Out Risk"</formula>
    </cfRule>
  </conditionalFormatting>
  <hyperlinks>
    <hyperlink ref="BU4" r:id="rId1" display="WOS@WK26 Shoes" xr:uid="{D7199F40-8B3D-45A1-B8BD-01FC4598D709}"/>
    <hyperlink ref="BX4" r:id="rId2" display="WOS@WK26 Shoes" xr:uid="{6BBA010F-1D6E-4C2E-8BAD-0C3FC01CC0A1}"/>
  </hyperlinks>
  <pageMargins left="0.7" right="0.7" top="0.75" bottom="0.75" header="0.3" footer="0.3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3AD3-AA8D-4B10-98DC-F00CB5E5E331}">
  <dimension ref="A1"/>
  <sheetViews>
    <sheetView workbookViewId="0">
      <selection activeCell="R29" sqref="R29"/>
    </sheetView>
  </sheetViews>
  <sheetFormatPr defaultRowHeight="13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D8F6-8791-4771-8EE5-0F9ECDC91FE3}">
  <dimension ref="B1:C40"/>
  <sheetViews>
    <sheetView showGridLines="0" workbookViewId="0">
      <selection activeCell="K9" sqref="K9"/>
    </sheetView>
  </sheetViews>
  <sheetFormatPr defaultRowHeight="13.2"/>
  <cols>
    <col min="1" max="1" width="2.88671875" customWidth="1"/>
    <col min="2" max="2" width="19.33203125" bestFit="1" customWidth="1"/>
    <col min="3" max="3" width="16.21875" bestFit="1" customWidth="1"/>
    <col min="4" max="5" width="8.6640625" bestFit="1" customWidth="1"/>
    <col min="6" max="6" width="10.77734375" bestFit="1" customWidth="1"/>
    <col min="7" max="8" width="7.6640625" bestFit="1" customWidth="1"/>
    <col min="9" max="9" width="7.44140625" bestFit="1" customWidth="1"/>
    <col min="10" max="10" width="7.21875" bestFit="1" customWidth="1"/>
    <col min="11" max="11" width="14.6640625" bestFit="1" customWidth="1"/>
    <col min="12" max="12" width="8.21875" bestFit="1" customWidth="1"/>
    <col min="13" max="13" width="11.109375" bestFit="1" customWidth="1"/>
  </cols>
  <sheetData>
    <row r="1" spans="2:3" ht="24.6">
      <c r="B1" s="470" t="s">
        <v>321</v>
      </c>
    </row>
    <row r="2" spans="2:3" ht="11.4" customHeight="1"/>
    <row r="3" spans="2:3">
      <c r="B3" s="135" t="s">
        <v>117</v>
      </c>
      <c r="C3" s="135" t="s">
        <v>170</v>
      </c>
    </row>
    <row r="4" spans="2:3">
      <c r="B4" s="57" t="s">
        <v>29</v>
      </c>
      <c r="C4" s="132">
        <v>756</v>
      </c>
    </row>
    <row r="5" spans="2:3">
      <c r="B5" s="58" t="s">
        <v>31</v>
      </c>
      <c r="C5" s="132">
        <v>678</v>
      </c>
    </row>
    <row r="6" spans="2:3">
      <c r="B6" s="59" t="s">
        <v>30</v>
      </c>
      <c r="C6" s="132">
        <v>362</v>
      </c>
    </row>
    <row r="7" spans="2:3">
      <c r="B7" s="59" t="s">
        <v>33</v>
      </c>
      <c r="C7" s="132">
        <v>183</v>
      </c>
    </row>
    <row r="8" spans="2:3">
      <c r="B8" s="59" t="s">
        <v>32</v>
      </c>
      <c r="C8" s="132">
        <v>133</v>
      </c>
    </row>
    <row r="9" spans="2:3">
      <c r="B9" s="58" t="s">
        <v>75</v>
      </c>
      <c r="C9" s="132">
        <v>78</v>
      </c>
    </row>
    <row r="10" spans="2:3">
      <c r="B10" s="59" t="s">
        <v>30</v>
      </c>
      <c r="C10" s="132">
        <v>78</v>
      </c>
    </row>
    <row r="11" spans="2:3">
      <c r="B11" s="57" t="s">
        <v>50</v>
      </c>
      <c r="C11" s="132">
        <v>70</v>
      </c>
    </row>
    <row r="12" spans="2:3">
      <c r="B12" s="58" t="s">
        <v>75</v>
      </c>
      <c r="C12" s="132">
        <v>94</v>
      </c>
    </row>
    <row r="13" spans="2:3">
      <c r="B13" s="59" t="s">
        <v>50</v>
      </c>
      <c r="C13" s="132">
        <v>94</v>
      </c>
    </row>
    <row r="14" spans="2:3">
      <c r="B14" s="58" t="s">
        <v>79</v>
      </c>
      <c r="C14" s="132">
        <v>-10</v>
      </c>
    </row>
    <row r="15" spans="2:3">
      <c r="B15" s="59" t="s">
        <v>50</v>
      </c>
      <c r="C15" s="132">
        <v>-10</v>
      </c>
    </row>
    <row r="16" spans="2:3">
      <c r="B16" s="58" t="s">
        <v>77</v>
      </c>
      <c r="C16" s="132">
        <v>-14</v>
      </c>
    </row>
    <row r="17" spans="2:3">
      <c r="B17" s="59" t="s">
        <v>50</v>
      </c>
      <c r="C17" s="132">
        <v>-14</v>
      </c>
    </row>
    <row r="18" spans="2:3">
      <c r="B18" s="57" t="s">
        <v>34</v>
      </c>
      <c r="C18" s="132">
        <v>-97</v>
      </c>
    </row>
    <row r="19" spans="2:3">
      <c r="B19" s="58" t="s">
        <v>31</v>
      </c>
      <c r="C19" s="132">
        <v>92</v>
      </c>
    </row>
    <row r="20" spans="2:3">
      <c r="B20" s="59" t="s">
        <v>35</v>
      </c>
      <c r="C20" s="132">
        <v>141</v>
      </c>
    </row>
    <row r="21" spans="2:3">
      <c r="B21" s="59" t="s">
        <v>40</v>
      </c>
      <c r="C21" s="132">
        <v>24</v>
      </c>
    </row>
    <row r="22" spans="2:3">
      <c r="B22" s="59" t="s">
        <v>43</v>
      </c>
      <c r="C22" s="132">
        <v>0</v>
      </c>
    </row>
    <row r="23" spans="2:3">
      <c r="B23" s="59" t="s">
        <v>37</v>
      </c>
      <c r="C23" s="132">
        <v>-73</v>
      </c>
    </row>
    <row r="24" spans="2:3">
      <c r="B24" s="58" t="s">
        <v>79</v>
      </c>
      <c r="C24" s="132">
        <v>-80</v>
      </c>
    </row>
    <row r="25" spans="2:3">
      <c r="B25" s="59" t="s">
        <v>37</v>
      </c>
      <c r="C25" s="132">
        <v>-38</v>
      </c>
    </row>
    <row r="26" spans="2:3">
      <c r="B26" s="59" t="s">
        <v>40</v>
      </c>
      <c r="C26" s="132">
        <v>-42</v>
      </c>
    </row>
    <row r="27" spans="2:3">
      <c r="B27" s="58" t="s">
        <v>77</v>
      </c>
      <c r="C27" s="132">
        <v>-109</v>
      </c>
    </row>
    <row r="28" spans="2:3">
      <c r="B28" s="59" t="s">
        <v>35</v>
      </c>
      <c r="C28" s="132">
        <v>7</v>
      </c>
    </row>
    <row r="29" spans="2:3">
      <c r="B29" s="59" t="s">
        <v>43</v>
      </c>
      <c r="C29" s="132">
        <v>-18</v>
      </c>
    </row>
    <row r="30" spans="2:3">
      <c r="B30" s="59" t="s">
        <v>37</v>
      </c>
      <c r="C30" s="132">
        <v>-19</v>
      </c>
    </row>
    <row r="31" spans="2:3">
      <c r="B31" s="59" t="s">
        <v>40</v>
      </c>
      <c r="C31" s="132">
        <v>-79</v>
      </c>
    </row>
    <row r="32" spans="2:3">
      <c r="B32" s="57" t="s">
        <v>46</v>
      </c>
      <c r="C32" s="132">
        <v>-7</v>
      </c>
    </row>
    <row r="33" spans="2:3">
      <c r="B33" s="58" t="s">
        <v>31</v>
      </c>
      <c r="C33" s="132">
        <v>17</v>
      </c>
    </row>
    <row r="34" spans="2:3">
      <c r="B34" s="59" t="s">
        <v>49</v>
      </c>
      <c r="C34" s="132">
        <v>25</v>
      </c>
    </row>
    <row r="35" spans="2:3">
      <c r="B35" s="59" t="s">
        <v>47</v>
      </c>
      <c r="C35" s="132">
        <v>-8</v>
      </c>
    </row>
    <row r="36" spans="2:3">
      <c r="B36" s="58" t="s">
        <v>77</v>
      </c>
      <c r="C36" s="132">
        <v>0</v>
      </c>
    </row>
    <row r="37" spans="2:3">
      <c r="B37" s="59" t="s">
        <v>47</v>
      </c>
      <c r="C37" s="132">
        <v>0</v>
      </c>
    </row>
    <row r="38" spans="2:3">
      <c r="B38" s="58" t="s">
        <v>75</v>
      </c>
      <c r="C38" s="132">
        <v>-24</v>
      </c>
    </row>
    <row r="39" spans="2:3">
      <c r="B39" s="59" t="s">
        <v>47</v>
      </c>
      <c r="C39" s="132">
        <v>-24</v>
      </c>
    </row>
    <row r="40" spans="2:3">
      <c r="B40" s="133" t="s">
        <v>118</v>
      </c>
      <c r="C40" s="134">
        <v>722</v>
      </c>
    </row>
  </sheetData>
  <conditionalFormatting pivot="1" sqref="C5 C4 C6:C8 C9 C10 C11 C12 C13 C14 C15 C16 C17 C18 C19 C20:C23 C24 C25:C26 C27 C28:C31 C32 C33 C34:C35 C36 C37 C38 C3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08BB-7AA1-495B-8388-5E5CD890BEDE}">
  <dimension ref="A2:A27"/>
  <sheetViews>
    <sheetView workbookViewId="0">
      <selection activeCell="S33" sqref="S33"/>
    </sheetView>
  </sheetViews>
  <sheetFormatPr defaultRowHeight="13.2"/>
  <sheetData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Gross-to-Net Process</vt:lpstr>
      <vt:lpstr>Account Information</vt:lpstr>
      <vt:lpstr>Hypotesis Panel</vt:lpstr>
      <vt:lpstr>Available Stock</vt:lpstr>
      <vt:lpstr>SS24 Q2 Data</vt:lpstr>
      <vt:lpstr>Pivot SS24Q2 Summary</vt:lpstr>
      <vt:lpstr>Actual vs Budget </vt:lpstr>
      <vt:lpstr>SS25 Landing</vt:lpstr>
      <vt:lpstr>Pivot</vt:lpstr>
      <vt:lpstr>Support Sheet (don't touch)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Fantin, Tommaso</cp:lastModifiedBy>
  <dcterms:created xsi:type="dcterms:W3CDTF">2026-03-03T11:15:27Z</dcterms:created>
  <dcterms:modified xsi:type="dcterms:W3CDTF">2026-03-05T13:51:37Z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2026-03-02T16:36:32Z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8d060d18-4dc9-4222-a0b0-4b3b44d9ada4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